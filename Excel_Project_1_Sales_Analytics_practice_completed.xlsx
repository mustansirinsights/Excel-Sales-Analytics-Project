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159219A29B549852/Documents/"/>
    </mc:Choice>
  </mc:AlternateContent>
  <xr:revisionPtr revIDLastSave="723" documentId="8_{8537BA90-327A-47A6-A291-6DB90D2BDCEB}" xr6:coauthVersionLast="47" xr6:coauthVersionMax="47" xr10:uidLastSave="{501C11ED-C56E-479B-83AB-E23E5A113474}"/>
  <bookViews>
    <workbookView xWindow="-108" yWindow="-108" windowWidth="23256" windowHeight="13896" firstSheet="1" activeTab="1" xr2:uid="{00000000-000D-0000-FFFF-FFFF00000000}"/>
  </bookViews>
  <sheets>
    <sheet name="Sheet2" sheetId="4" r:id="rId1"/>
    <sheet name="Sheet1" sheetId="10" r:id="rId2"/>
    <sheet name="month" sheetId="5" r:id="rId3"/>
    <sheet name="region" sheetId="6" r:id="rId4"/>
    <sheet name="category" sheetId="7" r:id="rId5"/>
    <sheet name="product" sheetId="8" r:id="rId6"/>
    <sheet name="salesperson" sheetId="9" r:id="rId7"/>
    <sheet name="Raw_Data" sheetId="1" r:id="rId8"/>
    <sheet name="Project_Brief" sheetId="2" r:id="rId9"/>
  </sheets>
  <definedNames>
    <definedName name="_xlnm._FilterDatabase" localSheetId="7" hidden="1">Raw_Data!$A$1:$N$501</definedName>
    <definedName name="NativeTimeline_Order_Date">#N/A</definedName>
    <definedName name="Slicer_Category">#N/A</definedName>
    <definedName name="Slicer_Product">#N/A</definedName>
    <definedName name="Slicer_Region">#N/A</definedName>
    <definedName name="Slicer_Salespers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2" i="1"/>
  <c r="A19" i="4"/>
  <c r="E15" i="4"/>
  <c r="C15" i="4"/>
  <c r="A15" i="4"/>
  <c r="E9" i="4"/>
  <c r="C9" i="4"/>
</calcChain>
</file>

<file path=xl/sharedStrings.xml><?xml version="1.0" encoding="utf-8"?>
<sst xmlns="http://schemas.openxmlformats.org/spreadsheetml/2006/main" count="3572" uniqueCount="728">
  <si>
    <t>Order ID</t>
  </si>
  <si>
    <t>Order Date</t>
  </si>
  <si>
    <t>Customer ID</t>
  </si>
  <si>
    <t>City</t>
  </si>
  <si>
    <t>Region</t>
  </si>
  <si>
    <t>Product</t>
  </si>
  <si>
    <t>Category</t>
  </si>
  <si>
    <t>Salesperson</t>
  </si>
  <si>
    <t>Quantity</t>
  </si>
  <si>
    <t>Unit Price</t>
  </si>
  <si>
    <t>Discount %</t>
  </si>
  <si>
    <t>Sales Amount</t>
  </si>
  <si>
    <t>Cost</t>
  </si>
  <si>
    <t>Profit</t>
  </si>
  <si>
    <t>ORD10001</t>
  </si>
  <si>
    <t>CUST1088</t>
  </si>
  <si>
    <t>Indore</t>
  </si>
  <si>
    <t>Central</t>
  </si>
  <si>
    <t>Desk</t>
  </si>
  <si>
    <t>Furniture</t>
  </si>
  <si>
    <t>Kabir</t>
  </si>
  <si>
    <t>ORD10002</t>
  </si>
  <si>
    <t>CUST1038</t>
  </si>
  <si>
    <t>Jaipur</t>
  </si>
  <si>
    <t>North</t>
  </si>
  <si>
    <t>Diya</t>
  </si>
  <si>
    <t>ORD10003</t>
  </si>
  <si>
    <t>CUST1049</t>
  </si>
  <si>
    <t>Chennai</t>
  </si>
  <si>
    <t>South</t>
  </si>
  <si>
    <t>Keyboard</t>
  </si>
  <si>
    <t>Accessories</t>
  </si>
  <si>
    <t>Rohan</t>
  </si>
  <si>
    <t>ORD10004</t>
  </si>
  <si>
    <t>CUST1051</t>
  </si>
  <si>
    <t>Patna</t>
  </si>
  <si>
    <t>East</t>
  </si>
  <si>
    <t>Webcam</t>
  </si>
  <si>
    <t>Ananya</t>
  </si>
  <si>
    <t>ORD10005</t>
  </si>
  <si>
    <t>CUST1018</t>
  </si>
  <si>
    <t>Printer</t>
  </si>
  <si>
    <t>Office Equipment</t>
  </si>
  <si>
    <t>ORD10006</t>
  </si>
  <si>
    <t>CUST1111</t>
  </si>
  <si>
    <t>Smartphone</t>
  </si>
  <si>
    <t>Electronics</t>
  </si>
  <si>
    <t>ORD10007</t>
  </si>
  <si>
    <t>CUST1134</t>
  </si>
  <si>
    <t>Tablet</t>
  </si>
  <si>
    <t>Meera</t>
  </si>
  <si>
    <t>ORD10008</t>
  </si>
  <si>
    <t>CUST1014</t>
  </si>
  <si>
    <t>Monitor</t>
  </si>
  <si>
    <t>Arjun</t>
  </si>
  <si>
    <t>ORD10009</t>
  </si>
  <si>
    <t>CUST1082</t>
  </si>
  <si>
    <t>Office Chair</t>
  </si>
  <si>
    <t>ORD10010</t>
  </si>
  <si>
    <t>CUST1015</t>
  </si>
  <si>
    <t>ORD10011</t>
  </si>
  <si>
    <t>CUST1139</t>
  </si>
  <si>
    <t>Lucknow</t>
  </si>
  <si>
    <t>ORD10012</t>
  </si>
  <si>
    <t>CUST1041</t>
  </si>
  <si>
    <t>ORD10013</t>
  </si>
  <si>
    <t>CUST1037</t>
  </si>
  <si>
    <t>ORD10014</t>
  </si>
  <si>
    <t>CUST1131</t>
  </si>
  <si>
    <t>Aarav</t>
  </si>
  <si>
    <t>ORD10015</t>
  </si>
  <si>
    <t>CUST1090</t>
  </si>
  <si>
    <t>Bengaluru</t>
  </si>
  <si>
    <t>ORD10016</t>
  </si>
  <si>
    <t>CUST1143</t>
  </si>
  <si>
    <t>ORD10017</t>
  </si>
  <si>
    <t>CUST1062</t>
  </si>
  <si>
    <t>ORD10018</t>
  </si>
  <si>
    <t>CUST1129</t>
  </si>
  <si>
    <t>Headphones</t>
  </si>
  <si>
    <t>ORD10019</t>
  </si>
  <si>
    <t>ORD10020</t>
  </si>
  <si>
    <t>CUST1052</t>
  </si>
  <si>
    <t>ORD10021</t>
  </si>
  <si>
    <t>CUST1054</t>
  </si>
  <si>
    <t>Bhopal</t>
  </si>
  <si>
    <t>Laptop</t>
  </si>
  <si>
    <t>ORD10022</t>
  </si>
  <si>
    <t>CUST1068</t>
  </si>
  <si>
    <t>Mumbai</t>
  </si>
  <si>
    <t>West</t>
  </si>
  <si>
    <t>ORD10023</t>
  </si>
  <si>
    <t>ORD10024</t>
  </si>
  <si>
    <t>CUST1147</t>
  </si>
  <si>
    <t>ORD10025</t>
  </si>
  <si>
    <t>CUST1104</t>
  </si>
  <si>
    <t>ORD10026</t>
  </si>
  <si>
    <t>CUST1007</t>
  </si>
  <si>
    <t>ORD10027</t>
  </si>
  <si>
    <t>CUST1140</t>
  </si>
  <si>
    <t>ORD10028</t>
  </si>
  <si>
    <t>CUST1148</t>
  </si>
  <si>
    <t>Hyderabad</t>
  </si>
  <si>
    <t>Sara</t>
  </si>
  <si>
    <t>ORD10029</t>
  </si>
  <si>
    <t>ORD10030</t>
  </si>
  <si>
    <t>Ahmedabad</t>
  </si>
  <si>
    <t>ORD10031</t>
  </si>
  <si>
    <t>Kolkata</t>
  </si>
  <si>
    <t>ORD10032</t>
  </si>
  <si>
    <t>CUST1022</t>
  </si>
  <si>
    <t>ORD10033</t>
  </si>
  <si>
    <t>CUST1021</t>
  </si>
  <si>
    <t>Nagpur</t>
  </si>
  <si>
    <t>ORD10034</t>
  </si>
  <si>
    <t>ORD10035</t>
  </si>
  <si>
    <t>CUST1046</t>
  </si>
  <si>
    <t>ORD10036</t>
  </si>
  <si>
    <t>CUST1067</t>
  </si>
  <si>
    <t>ORD10037</t>
  </si>
  <si>
    <t>CUST1114</t>
  </si>
  <si>
    <t>ORD10038</t>
  </si>
  <si>
    <t>CUST1039</t>
  </si>
  <si>
    <t>Pune</t>
  </si>
  <si>
    <t>ORD10039</t>
  </si>
  <si>
    <t>CUST1135</t>
  </si>
  <si>
    <t>Delhi</t>
  </si>
  <si>
    <t>ORD10040</t>
  </si>
  <si>
    <t>ORD10041</t>
  </si>
  <si>
    <t>CUST1058</t>
  </si>
  <si>
    <t>ORD10042</t>
  </si>
  <si>
    <t>CUST1053</t>
  </si>
  <si>
    <t>ORD10043</t>
  </si>
  <si>
    <t>CUST1099</t>
  </si>
  <si>
    <t>ORD10044</t>
  </si>
  <si>
    <t>CUST1019</t>
  </si>
  <si>
    <t>ORD10045</t>
  </si>
  <si>
    <t>ORD10046</t>
  </si>
  <si>
    <t>CUST1089</t>
  </si>
  <si>
    <t>ORD10047</t>
  </si>
  <si>
    <t>CUST1093</t>
  </si>
  <si>
    <t>ORD10048</t>
  </si>
  <si>
    <t>CUST1047</t>
  </si>
  <si>
    <t>ORD10049</t>
  </si>
  <si>
    <t>CUST1100</t>
  </si>
  <si>
    <t>Bhubaneswar</t>
  </si>
  <si>
    <t>ORD10050</t>
  </si>
  <si>
    <t>CUST1138</t>
  </si>
  <si>
    <t>ORD10051</t>
  </si>
  <si>
    <t>CUST1002</t>
  </si>
  <si>
    <t>ORD10052</t>
  </si>
  <si>
    <t>CUST1101</t>
  </si>
  <si>
    <t>ORD10053</t>
  </si>
  <si>
    <t>ORD10054</t>
  </si>
  <si>
    <t>ORD10055</t>
  </si>
  <si>
    <t>CUST1120</t>
  </si>
  <si>
    <t>ORD10056</t>
  </si>
  <si>
    <t>ORD10057</t>
  </si>
  <si>
    <t>CUST1113</t>
  </si>
  <si>
    <t>ORD10058</t>
  </si>
  <si>
    <t>CUST1112</t>
  </si>
  <si>
    <t>ORD10059</t>
  </si>
  <si>
    <t>CUST1028</t>
  </si>
  <si>
    <t>ORD10060</t>
  </si>
  <si>
    <t>CUST1123</t>
  </si>
  <si>
    <t>ORD10061</t>
  </si>
  <si>
    <t>CUST1122</t>
  </si>
  <si>
    <t>ORD10062</t>
  </si>
  <si>
    <t>ORD10063</t>
  </si>
  <si>
    <t>CUST1083</t>
  </si>
  <si>
    <t>ORD10064</t>
  </si>
  <si>
    <t>ORD10065</t>
  </si>
  <si>
    <t>CUST1126</t>
  </si>
  <si>
    <t>ORD10066</t>
  </si>
  <si>
    <t>CUST1092</t>
  </si>
  <si>
    <t>ORD10067</t>
  </si>
  <si>
    <t>CUST1044</t>
  </si>
  <si>
    <t>ORD10068</t>
  </si>
  <si>
    <t>ORD10069</t>
  </si>
  <si>
    <t>CUST1003</t>
  </si>
  <si>
    <t>ORD10070</t>
  </si>
  <si>
    <t>ORD10071</t>
  </si>
  <si>
    <t>CUST1145</t>
  </si>
  <si>
    <t>ORD10072</t>
  </si>
  <si>
    <t>CUST1010</t>
  </si>
  <si>
    <t>ORD10073</t>
  </si>
  <si>
    <t>CUST1011</t>
  </si>
  <si>
    <t>ORD10074</t>
  </si>
  <si>
    <t>ORD10075</t>
  </si>
  <si>
    <t>ORD10076</t>
  </si>
  <si>
    <t>CUST1004</t>
  </si>
  <si>
    <t>ORD10077</t>
  </si>
  <si>
    <t>ORD10078</t>
  </si>
  <si>
    <t>ORD10079</t>
  </si>
  <si>
    <t>ORD10080</t>
  </si>
  <si>
    <t>CUST1079</t>
  </si>
  <si>
    <t>ORD10081</t>
  </si>
  <si>
    <t>ORD10082</t>
  </si>
  <si>
    <t>ORD10083</t>
  </si>
  <si>
    <t>CUST1118</t>
  </si>
  <si>
    <t xml:space="preserve"> Laptop </t>
  </si>
  <si>
    <t>ORD10084</t>
  </si>
  <si>
    <t>ORD10085</t>
  </si>
  <si>
    <t>ORD10086</t>
  </si>
  <si>
    <t>CUST1045</t>
  </si>
  <si>
    <t>ORD10087</t>
  </si>
  <si>
    <t>CUST1063</t>
  </si>
  <si>
    <t>ORD10088</t>
  </si>
  <si>
    <t>ORD10089</t>
  </si>
  <si>
    <t>ORD10090</t>
  </si>
  <si>
    <t>ORD10091</t>
  </si>
  <si>
    <t>CUST1086</t>
  </si>
  <si>
    <t>ORD10092</t>
  </si>
  <si>
    <t>CUST1109</t>
  </si>
  <si>
    <t>ORD10093</t>
  </si>
  <si>
    <t>ORD10094</t>
  </si>
  <si>
    <t>CUST1033</t>
  </si>
  <si>
    <t>ORD10095</t>
  </si>
  <si>
    <t>CUST1094</t>
  </si>
  <si>
    <t>ORD10096</t>
  </si>
  <si>
    <t>CUST1006</t>
  </si>
  <si>
    <t>ORD10097</t>
  </si>
  <si>
    <t>ORD10098</t>
  </si>
  <si>
    <t>ORD10099</t>
  </si>
  <si>
    <t>ORD10100</t>
  </si>
  <si>
    <t>ORD10101</t>
  </si>
  <si>
    <t>CUST1073</t>
  </si>
  <si>
    <t>ORD10102</t>
  </si>
  <si>
    <t>ORD10103</t>
  </si>
  <si>
    <t>CUST1001</t>
  </si>
  <si>
    <t>ORD10104</t>
  </si>
  <si>
    <t>CUST1005</t>
  </si>
  <si>
    <t>ORD10105</t>
  </si>
  <si>
    <t>ORD10106</t>
  </si>
  <si>
    <t>ORD10107</t>
  </si>
  <si>
    <t>CUST1042</t>
  </si>
  <si>
    <t>ORD10108</t>
  </si>
  <si>
    <t>CUST1097</t>
  </si>
  <si>
    <t>ORD10109</t>
  </si>
  <si>
    <t>ORD10110</t>
  </si>
  <si>
    <t>ORD10111</t>
  </si>
  <si>
    <t>CUST1043</t>
  </si>
  <si>
    <t>ORD10112</t>
  </si>
  <si>
    <t>ORD10113</t>
  </si>
  <si>
    <t>ORD10114</t>
  </si>
  <si>
    <t>CUST1137</t>
  </si>
  <si>
    <t>ORD10115</t>
  </si>
  <si>
    <t>CUST1149</t>
  </si>
  <si>
    <t>ORD10116</t>
  </si>
  <si>
    <t>ORD10117</t>
  </si>
  <si>
    <t>CUST1025</t>
  </si>
  <si>
    <t>ORD10118</t>
  </si>
  <si>
    <t>CUST1108</t>
  </si>
  <si>
    <t>ORD10119</t>
  </si>
  <si>
    <t>CUST1029</t>
  </si>
  <si>
    <t>ORD10120</t>
  </si>
  <si>
    <t>ORD10121</t>
  </si>
  <si>
    <t>ORD10122</t>
  </si>
  <si>
    <t>ORD10123</t>
  </si>
  <si>
    <t>ORD10124</t>
  </si>
  <si>
    <t>CUST1124</t>
  </si>
  <si>
    <t>ORD10125</t>
  </si>
  <si>
    <t>CUST1072</t>
  </si>
  <si>
    <t>ORD10126</t>
  </si>
  <si>
    <t>CUST1035</t>
  </si>
  <si>
    <t>ORD10127</t>
  </si>
  <si>
    <t>CUST1142</t>
  </si>
  <si>
    <t>ORD10128</t>
  </si>
  <si>
    <t>CUST1036</t>
  </si>
  <si>
    <t>ORD10129</t>
  </si>
  <si>
    <t>CUST1130</t>
  </si>
  <si>
    <t>ORD10130</t>
  </si>
  <si>
    <t>ORD10131</t>
  </si>
  <si>
    <t>CUST1115</t>
  </si>
  <si>
    <t>ORD10132</t>
  </si>
  <si>
    <t>ORD10133</t>
  </si>
  <si>
    <t>ORD10134</t>
  </si>
  <si>
    <t>CUST1117</t>
  </si>
  <si>
    <t>ORD10135</t>
  </si>
  <si>
    <t>ORD10136</t>
  </si>
  <si>
    <t>ORD10137</t>
  </si>
  <si>
    <t>ORD10138</t>
  </si>
  <si>
    <t>ORD10139</t>
  </si>
  <si>
    <t>ORD10140</t>
  </si>
  <si>
    <t>ORD10141</t>
  </si>
  <si>
    <t>CUST1074</t>
  </si>
  <si>
    <t>ORD10142</t>
  </si>
  <si>
    <t>ORD10143</t>
  </si>
  <si>
    <t>ORD10144</t>
  </si>
  <si>
    <t xml:space="preserve">Rohan </t>
  </si>
  <si>
    <t>ORD10145</t>
  </si>
  <si>
    <t>CUST1116</t>
  </si>
  <si>
    <t>ORD10146</t>
  </si>
  <si>
    <t>ORD10147</t>
  </si>
  <si>
    <t>CUST1016</t>
  </si>
  <si>
    <t>ORD10148</t>
  </si>
  <si>
    <t>CUST1013</t>
  </si>
  <si>
    <t>ORD10149</t>
  </si>
  <si>
    <t>ORD10150</t>
  </si>
  <si>
    <t>CUST1065</t>
  </si>
  <si>
    <t>ORD10151</t>
  </si>
  <si>
    <t>ORD10152</t>
  </si>
  <si>
    <t>ORD10153</t>
  </si>
  <si>
    <t>ORD10154</t>
  </si>
  <si>
    <t>ORD10155</t>
  </si>
  <si>
    <t>ORD10156</t>
  </si>
  <si>
    <t>ORD10157</t>
  </si>
  <si>
    <t>ORD10158</t>
  </si>
  <si>
    <t>ORD10159</t>
  </si>
  <si>
    <t>ORD10160</t>
  </si>
  <si>
    <t>ORD10161</t>
  </si>
  <si>
    <t>ORD10162</t>
  </si>
  <si>
    <t>ORD10163</t>
  </si>
  <si>
    <t>CUST1023</t>
  </si>
  <si>
    <t>ORD10164</t>
  </si>
  <si>
    <t>CUST1077</t>
  </si>
  <si>
    <t>ORD10165</t>
  </si>
  <si>
    <t>ORD10166</t>
  </si>
  <si>
    <t>ORD10167</t>
  </si>
  <si>
    <t>ORD10168</t>
  </si>
  <si>
    <t>CUST1050</t>
  </si>
  <si>
    <t>ORD10169</t>
  </si>
  <si>
    <t>ORD10170</t>
  </si>
  <si>
    <t>ORD10171</t>
  </si>
  <si>
    <t>CUST1032</t>
  </si>
  <si>
    <t>ORD10172</t>
  </si>
  <si>
    <t>ORD10173</t>
  </si>
  <si>
    <t>ORD10174</t>
  </si>
  <si>
    <t>CUST1027</t>
  </si>
  <si>
    <t>ORD10175</t>
  </si>
  <si>
    <t>ORD10176</t>
  </si>
  <si>
    <t>CUST1017</t>
  </si>
  <si>
    <t>ORD10177</t>
  </si>
  <si>
    <t>ORD10178</t>
  </si>
  <si>
    <t>CUST1095</t>
  </si>
  <si>
    <t>ORD10179</t>
  </si>
  <si>
    <t>ORD10180</t>
  </si>
  <si>
    <t>ORD10181</t>
  </si>
  <si>
    <t>CUST1103</t>
  </si>
  <si>
    <t>ORD10182</t>
  </si>
  <si>
    <t>ORD10183</t>
  </si>
  <si>
    <t>CUST1008</t>
  </si>
  <si>
    <t>ORD10184</t>
  </si>
  <si>
    <t>CUST1132</t>
  </si>
  <si>
    <t>ORD10185</t>
  </si>
  <si>
    <t>CUST1012</t>
  </si>
  <si>
    <t>ORD10186</t>
  </si>
  <si>
    <t>CUST1136</t>
  </si>
  <si>
    <t>ORD10187</t>
  </si>
  <si>
    <t>CUST1150</t>
  </si>
  <si>
    <t>ORD10188</t>
  </si>
  <si>
    <t>ORD10189</t>
  </si>
  <si>
    <t>ORD10190</t>
  </si>
  <si>
    <t>CUST1066</t>
  </si>
  <si>
    <t>ORD10191</t>
  </si>
  <si>
    <t>ORD10192</t>
  </si>
  <si>
    <t>ORD10193</t>
  </si>
  <si>
    <t>CUST1125</t>
  </si>
  <si>
    <t>ORD10194</t>
  </si>
  <si>
    <t>ORD10195</t>
  </si>
  <si>
    <t>ORD10196</t>
  </si>
  <si>
    <t>CUST1105</t>
  </si>
  <si>
    <t>ORD10197</t>
  </si>
  <si>
    <t>ORD10198</t>
  </si>
  <si>
    <t>ORD10199</t>
  </si>
  <si>
    <t>CUST1026</t>
  </si>
  <si>
    <t>ORD10200</t>
  </si>
  <si>
    <t>ORD10201</t>
  </si>
  <si>
    <t>ORD10202</t>
  </si>
  <si>
    <t>ORD10203</t>
  </si>
  <si>
    <t>CUST1096</t>
  </si>
  <si>
    <t>ORD10204</t>
  </si>
  <si>
    <t>ORD10205</t>
  </si>
  <si>
    <t>ORD10206</t>
  </si>
  <si>
    <t>ORD10207</t>
  </si>
  <si>
    <t>ORD10208</t>
  </si>
  <si>
    <t>ORD10209</t>
  </si>
  <si>
    <t>ORD10210</t>
  </si>
  <si>
    <t>ORD10211</t>
  </si>
  <si>
    <t>CUST1048</t>
  </si>
  <si>
    <t>ORD10212</t>
  </si>
  <si>
    <t>ORD10213</t>
  </si>
  <si>
    <t>ORD10214</t>
  </si>
  <si>
    <t>ORD10215</t>
  </si>
  <si>
    <t>ORD10216</t>
  </si>
  <si>
    <t>ORD10217</t>
  </si>
  <si>
    <t>CUST1056</t>
  </si>
  <si>
    <t>ORD10218</t>
  </si>
  <si>
    <t>CUST1106</t>
  </si>
  <si>
    <t>ORD10219</t>
  </si>
  <si>
    <t>ORD10220</t>
  </si>
  <si>
    <t>ORD10221</t>
  </si>
  <si>
    <t>CUST1069</t>
  </si>
  <si>
    <t>ORD10222</t>
  </si>
  <si>
    <t>ORD10223</t>
  </si>
  <si>
    <t>ORD10224</t>
  </si>
  <si>
    <t>CUST1024</t>
  </si>
  <si>
    <t>ORD10225</t>
  </si>
  <si>
    <t>ORD10226</t>
  </si>
  <si>
    <t>CUST1060</t>
  </si>
  <si>
    <t>ORD10227</t>
  </si>
  <si>
    <t>ORD10228</t>
  </si>
  <si>
    <t>ORD10229</t>
  </si>
  <si>
    <t>CUST1144</t>
  </si>
  <si>
    <t>ORD10230</t>
  </si>
  <si>
    <t>ORD10231</t>
  </si>
  <si>
    <t>ORD10232</t>
  </si>
  <si>
    <t>ORD10233</t>
  </si>
  <si>
    <t>CUST1075</t>
  </si>
  <si>
    <t>ORD10234</t>
  </si>
  <si>
    <t>ORD10235</t>
  </si>
  <si>
    <t>ORD10236</t>
  </si>
  <si>
    <t>ORD10237</t>
  </si>
  <si>
    <t>ORD10238</t>
  </si>
  <si>
    <t>ORD10239</t>
  </si>
  <si>
    <t>ORD10240</t>
  </si>
  <si>
    <t>ORD10241</t>
  </si>
  <si>
    <t>ORD10242</t>
  </si>
  <si>
    <t>ORD10243</t>
  </si>
  <si>
    <t>CUST1040</t>
  </si>
  <si>
    <t>ORD10244</t>
  </si>
  <si>
    <t>ORD10245</t>
  </si>
  <si>
    <t>ORD10246</t>
  </si>
  <si>
    <t>ORD10247</t>
  </si>
  <si>
    <t>ORD10248</t>
  </si>
  <si>
    <t>ORD10249</t>
  </si>
  <si>
    <t>ORD10250</t>
  </si>
  <si>
    <t>ORD10251</t>
  </si>
  <si>
    <t>ORD10252</t>
  </si>
  <si>
    <t>CUST1087</t>
  </si>
  <si>
    <t>ORD10253</t>
  </si>
  <si>
    <t>ORD10254</t>
  </si>
  <si>
    <t>ORD10255</t>
  </si>
  <si>
    <t>ORD10256</t>
  </si>
  <si>
    <t>ORD10257</t>
  </si>
  <si>
    <t>ORD10258</t>
  </si>
  <si>
    <t>CUST1059</t>
  </si>
  <si>
    <t>ORD10259</t>
  </si>
  <si>
    <t>ORD10260</t>
  </si>
  <si>
    <t>ORD10261</t>
  </si>
  <si>
    <t>ORD10262</t>
  </si>
  <si>
    <t>ORD10263</t>
  </si>
  <si>
    <t>ORD10264</t>
  </si>
  <si>
    <t>ORD10265</t>
  </si>
  <si>
    <t>ORD10266</t>
  </si>
  <si>
    <t>ORD10267</t>
  </si>
  <si>
    <t>ORD10268</t>
  </si>
  <si>
    <t>CUST1070</t>
  </si>
  <si>
    <t>ORD10269</t>
  </si>
  <si>
    <t>ORD10270</t>
  </si>
  <si>
    <t>ORD10271</t>
  </si>
  <si>
    <t>ORD10272</t>
  </si>
  <si>
    <t>ORD10273</t>
  </si>
  <si>
    <t>ORD10274</t>
  </si>
  <si>
    <t>ORD10275</t>
  </si>
  <si>
    <t>ORD10276</t>
  </si>
  <si>
    <t>ORD10277</t>
  </si>
  <si>
    <t>ORD10278</t>
  </si>
  <si>
    <t>ORD10279</t>
  </si>
  <si>
    <t>ORD10280</t>
  </si>
  <si>
    <t>CUST1084</t>
  </si>
  <si>
    <t>ORD10281</t>
  </si>
  <si>
    <t>ORD10282</t>
  </si>
  <si>
    <t>CUST1107</t>
  </si>
  <si>
    <t>ORD10283</t>
  </si>
  <si>
    <t>CUST1127</t>
  </si>
  <si>
    <t>ORD10284</t>
  </si>
  <si>
    <t>ORD10285</t>
  </si>
  <si>
    <t>ORD10286</t>
  </si>
  <si>
    <t>ORD10287</t>
  </si>
  <si>
    <t>ORD10288</t>
  </si>
  <si>
    <t>ORD10289</t>
  </si>
  <si>
    <t>ORD10290</t>
  </si>
  <si>
    <t>ORD10291</t>
  </si>
  <si>
    <t>ORD10292</t>
  </si>
  <si>
    <t>ORD10293</t>
  </si>
  <si>
    <t>ORD10294</t>
  </si>
  <si>
    <t>CUST1085</t>
  </si>
  <si>
    <t>ORD10295</t>
  </si>
  <si>
    <t>ORD10296</t>
  </si>
  <si>
    <t>ORD10297</t>
  </si>
  <si>
    <t>ORD10298</t>
  </si>
  <si>
    <t>CUST1102</t>
  </si>
  <si>
    <t>ORD10299</t>
  </si>
  <si>
    <t>ORD10300</t>
  </si>
  <si>
    <t>ORD10301</t>
  </si>
  <si>
    <t>ORD10302</t>
  </si>
  <si>
    <t>ORD10303</t>
  </si>
  <si>
    <t>ORD10304</t>
  </si>
  <si>
    <t>ORD10305</t>
  </si>
  <si>
    <t>ORD10306</t>
  </si>
  <si>
    <t>ORD10307</t>
  </si>
  <si>
    <t>CUST1091</t>
  </si>
  <si>
    <t>ORD10308</t>
  </si>
  <si>
    <t>CUST1078</t>
  </si>
  <si>
    <t>ORD10309</t>
  </si>
  <si>
    <t>ORD10310</t>
  </si>
  <si>
    <t>CUST1119</t>
  </si>
  <si>
    <t>ORD10311</t>
  </si>
  <si>
    <t>ORD10312</t>
  </si>
  <si>
    <t>ORD10313</t>
  </si>
  <si>
    <t>ORD10314</t>
  </si>
  <si>
    <t>ORD10315</t>
  </si>
  <si>
    <t>ORD10316</t>
  </si>
  <si>
    <t>ORD10317</t>
  </si>
  <si>
    <t>ORD10318</t>
  </si>
  <si>
    <t>ORD10319</t>
  </si>
  <si>
    <t>ORD10320</t>
  </si>
  <si>
    <t>ORD10321</t>
  </si>
  <si>
    <t>ORD10322</t>
  </si>
  <si>
    <t>CUST1009</t>
  </si>
  <si>
    <t>ORD10323</t>
  </si>
  <si>
    <t>ORD10324</t>
  </si>
  <si>
    <t>ORD10325</t>
  </si>
  <si>
    <t>ORD10326</t>
  </si>
  <si>
    <t>ORD10327</t>
  </si>
  <si>
    <t>ORD10328</t>
  </si>
  <si>
    <t>ORD10329</t>
  </si>
  <si>
    <t>ORD10330</t>
  </si>
  <si>
    <t>CUST1081</t>
  </si>
  <si>
    <t>ORD10331</t>
  </si>
  <si>
    <t>ORD10332</t>
  </si>
  <si>
    <t>CUST1146</t>
  </si>
  <si>
    <t>ORD10333</t>
  </si>
  <si>
    <t>CUST1098</t>
  </si>
  <si>
    <t>ORD10334</t>
  </si>
  <si>
    <t>CUST1057</t>
  </si>
  <si>
    <t>ORD10335</t>
  </si>
  <si>
    <t>ORD10336</t>
  </si>
  <si>
    <t>ORD10337</t>
  </si>
  <si>
    <t>CUST1031</t>
  </si>
  <si>
    <t>ORD10338</t>
  </si>
  <si>
    <t>ORD10339</t>
  </si>
  <si>
    <t>ORD10340</t>
  </si>
  <si>
    <t>ORD10341</t>
  </si>
  <si>
    <t>ORD10342</t>
  </si>
  <si>
    <t>ORD10343</t>
  </si>
  <si>
    <t>ORD10344</t>
  </si>
  <si>
    <t>ORD10345</t>
  </si>
  <si>
    <t>ORD10346</t>
  </si>
  <si>
    <t>ORD10347</t>
  </si>
  <si>
    <t>CUST1020</t>
  </si>
  <si>
    <t>ORD10348</t>
  </si>
  <si>
    <t>ORD10349</t>
  </si>
  <si>
    <t>ORD10350</t>
  </si>
  <si>
    <t>ORD10351</t>
  </si>
  <si>
    <t>ORD10352</t>
  </si>
  <si>
    <t>ORD10353</t>
  </si>
  <si>
    <t>CUST1064</t>
  </si>
  <si>
    <t>ORD10354</t>
  </si>
  <si>
    <t>ORD10355</t>
  </si>
  <si>
    <t>ORD10356</t>
  </si>
  <si>
    <t>ORD10357</t>
  </si>
  <si>
    <t>ORD10358</t>
  </si>
  <si>
    <t>ORD10359</t>
  </si>
  <si>
    <t>CUST1034</t>
  </si>
  <si>
    <t>ORD10360</t>
  </si>
  <si>
    <t>ORD10361</t>
  </si>
  <si>
    <t>ORD10362</t>
  </si>
  <si>
    <t>ORD10363</t>
  </si>
  <si>
    <t>ORD10364</t>
  </si>
  <si>
    <t>ORD10365</t>
  </si>
  <si>
    <t>CUST1121</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</si>
  <si>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</si>
  <si>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</si>
  <si>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</si>
  <si>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</si>
  <si>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</si>
  <si>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</si>
  <si>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</si>
  <si>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</si>
  <si>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</si>
  <si>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</si>
  <si>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</si>
  <si>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</si>
  <si>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</si>
  <si>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</si>
  <si>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</si>
  <si>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</si>
  <si>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</si>
  <si>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</si>
  <si>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</si>
  <si>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</si>
  <si>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</si>
  <si>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</si>
  <si>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</si>
  <si>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</si>
  <si>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</si>
  <si>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</si>
  <si>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</si>
  <si>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</si>
  <si>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</si>
  <si>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</si>
  <si>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</si>
  <si>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</si>
  <si>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</si>
  <si>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</si>
  <si>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</si>
  <si>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</si>
  <si>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CUST1071</t>
  </si>
  <si>
    <t>ORD10402</t>
  </si>
  <si>
    <t>ORD10403</t>
  </si>
  <si>
    <t>ORD10404</t>
  </si>
  <si>
    <t>ORD10405</t>
  </si>
  <si>
    <t>ORD10406</t>
  </si>
  <si>
    <t>ORD10407</t>
  </si>
  <si>
    <t>ORD10408</t>
  </si>
  <si>
    <t>CUST1030</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</si>
  <si>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</si>
  <si>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</si>
  <si>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</si>
  <si>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</si>
  <si>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</si>
  <si>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</si>
  <si>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</si>
  <si>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</si>
  <si>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</si>
  <si>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</si>
  <si>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</si>
  <si>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</si>
  <si>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</si>
  <si>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</si>
  <si>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</si>
  <si>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</si>
  <si>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</si>
  <si>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</si>
  <si>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</si>
  <si>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</si>
  <si>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</si>
  <si>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</si>
  <si>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</si>
  <si>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</si>
  <si>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</si>
  <si>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</si>
  <si>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</si>
  <si>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</si>
  <si>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CUST1061</t>
  </si>
  <si>
    <t>ORD10437</t>
  </si>
  <si>
    <t>ORD10438</t>
  </si>
  <si>
    <t>ORD10439</t>
  </si>
  <si>
    <t>ORD10440</t>
  </si>
  <si>
    <t>ORD10441</t>
  </si>
  <si>
    <t>ORD10442</t>
  </si>
  <si>
    <t>ORD10443</t>
  </si>
  <si>
    <t>ORD10444</t>
  </si>
  <si>
    <t>ORD10445</t>
  </si>
  <si>
    <t>CUST1055</t>
  </si>
  <si>
    <t>ORD10446</t>
  </si>
  <si>
    <t>CUST1080</t>
  </si>
  <si>
    <t>ORD10447</t>
  </si>
  <si>
    <t>ORD10448</t>
  </si>
  <si>
    <t>ORD10449</t>
  </si>
  <si>
    <t>ORD10450</t>
  </si>
  <si>
    <t>ORD10451</t>
  </si>
  <si>
    <t>ORD10452</t>
  </si>
  <si>
    <t>ORD10453</t>
  </si>
  <si>
    <t>CUST1141</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</si>
  <si>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</si>
  <si>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</si>
  <si>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</si>
  <si>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</si>
  <si>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</si>
  <si>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</si>
  <si>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</si>
  <si>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</si>
  <si>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</si>
  <si>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</si>
  <si>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</si>
  <si>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</si>
  <si>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</si>
  <si>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</si>
  <si>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</si>
  <si>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</si>
  <si>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</si>
  <si>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</si>
  <si>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</si>
  <si>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</si>
  <si>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</si>
  <si>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</si>
  <si>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</si>
  <si>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</si>
  <si>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</si>
  <si>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</si>
  <si>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</si>
  <si>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</si>
  <si>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</si>
  <si>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</si>
  <si>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</si>
  <si>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</si>
  <si>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</si>
  <si>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</si>
  <si>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</si>
  <si>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</si>
  <si>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</si>
  <si>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</si>
  <si>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</si>
  <si>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</si>
  <si>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</si>
  <si>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</si>
  <si>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</si>
  <si>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</si>
  <si>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</si>
  <si>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</si>
  <si>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</si>
  <si>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Project</t>
  </si>
  <si>
    <t>Instructions</t>
  </si>
  <si>
    <t>Sales Performance Dashboard</t>
  </si>
  <si>
    <t>Use Raw_Data to clean, analyze, create KPIs, PivotTables and an interactive dashboard.</t>
  </si>
  <si>
    <t>Unkown</t>
  </si>
  <si>
    <t>Gross sales</t>
  </si>
  <si>
    <t>Discount amount</t>
  </si>
  <si>
    <t>Profit margin</t>
  </si>
  <si>
    <t>Sum of Sales Amount</t>
  </si>
  <si>
    <t>Count of Order ID</t>
  </si>
  <si>
    <t>Sum of Quantity</t>
  </si>
  <si>
    <t>Sum of Profit</t>
  </si>
  <si>
    <t>AOV</t>
  </si>
  <si>
    <t>OPM</t>
  </si>
  <si>
    <t>Row Labels</t>
  </si>
  <si>
    <t>Jan</t>
  </si>
  <si>
    <t>Feb</t>
  </si>
  <si>
    <t>Mar</t>
  </si>
  <si>
    <t>Apr</t>
  </si>
  <si>
    <t>May</t>
  </si>
  <si>
    <t>Jun</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</si>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</sst>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quot;M&quot;"/>
    <numFmt numFmtId="166" formatCode="0.00,&quot;K&quot;"/>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9" fontId="0" fillId="0" borderId="0" xfId="1" applyFont="1"/>
  </cellXfs>
  <cellStyles count="2">
    <cellStyle name="Normal" xfId="0" builtinId="0"/>
    <cellStyle name="Percent" xfId="1" builtinId="5"/>
  </cellStyles>
  <dxfs count="2">
    <dxf>
      <numFmt numFmtId="165" formatCode="0.00,,&quot;M&quot;"/>
    </dxf>
    <dxf>
      <numFmt numFmtId="165" formatCode="0.00,,&quot;M&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[Excel_Project_1_Sales_Analytics_practice_completed.xlsx]month!PivotTable18</c:name>
    <c:fmtId val="9"/>
  </c:pivotSource>
  <c:chart>
    <c:title>
      <c:tx>
        <c:rich>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r>
              <a:rPr lang="en-IN">
                <a:solidFill>
                  <a:schemeClr val="bg2"/>
                </a:solidFill>
              </a:rPr>
              <a:t>MONTHLY REVENUE TRENDl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2"/>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month!$A$4:$A$12</c:f>
              <c:strCache>
                <c:ptCount val="9"/>
                <c:pt idx="0">
                  <c:v>Jan</c:v>
                </c:pt>
                <c:pt idx="1">
                  <c:v>Feb</c:v>
                </c:pt>
                <c:pt idx="2">
                  <c:v>Mar</c:v>
                </c:pt>
                <c:pt idx="3">
                  <c:v>Apr</c:v>
                </c:pt>
                <c:pt idx="4">
                  <c:v>May</c:v>
                </c:pt>
                <c:pt idx="5">
                  <c:v>Jun</c:v>
                </c:pt>
                <c:pt idx="6">
                  <c:v>Jul</c:v>
                </c:pt>
                <c:pt idx="7">
                  <c:v>Aug</c:v>
                </c:pt>
                <c:pt idx="8">
                  <c:v>Sep</c:v>
                </c:pt>
              </c:strCache>
            </c:strRef>
          </c:cat>
          <c:val>
            <c:numRef>
              <c:f>month!$B$4:$B$12</c:f>
              <c:numCache>
                <c:formatCode>General</c:formatCode>
                <c:ptCount val="9"/>
                <c:pt idx="0">
                  <c:v>5538248.6499999966</c:v>
                </c:pt>
                <c:pt idx="1">
                  <c:v>3360638.19</c:v>
                </c:pt>
                <c:pt idx="2">
                  <c:v>3216058.1300000004</c:v>
                </c:pt>
                <c:pt idx="3">
                  <c:v>5080079.2500000019</c:v>
                </c:pt>
                <c:pt idx="4">
                  <c:v>4050682.5700000003</c:v>
                </c:pt>
                <c:pt idx="5">
                  <c:v>2863261.9899999998</c:v>
                </c:pt>
                <c:pt idx="6">
                  <c:v>5604009.7800000021</c:v>
                </c:pt>
                <c:pt idx="7">
                  <c:v>3998726.04</c:v>
                </c:pt>
                <c:pt idx="8">
                  <c:v>4335151.6400000006</c:v>
                </c:pt>
              </c:numCache>
            </c:numRef>
          </c:val>
          <c:smooth val="0"/>
          <c:extLst>
            <c:ext xmlns:c16="http://schemas.microsoft.com/office/drawing/2014/chart" uri="{C3380CC4-5D6E-409C-BE32-E72D297353CC}">
              <c16:uniqueId val="{00000000-43EB-4A97-AA0D-7B7E05E9245A}"/>
            </c:ext>
          </c:extLst>
        </c:ser>
        <c:dLbls>
          <c:showLegendKey val="0"/>
          <c:showVal val="0"/>
          <c:showCatName val="0"/>
          <c:showSerName val="0"/>
          <c:showPercent val="0"/>
          <c:showBubbleSize val="0"/>
        </c:dLbls>
        <c:marker val="1"/>
        <c:smooth val="0"/>
        <c:axId val="1083116655"/>
        <c:axId val="506505167"/>
      </c:lineChart>
      <c:catAx>
        <c:axId val="1083116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6505167"/>
        <c:crosses val="autoZero"/>
        <c:auto val="1"/>
        <c:lblAlgn val="ctr"/>
        <c:lblOffset val="100"/>
        <c:noMultiLvlLbl val="0"/>
      </c:catAx>
      <c:valAx>
        <c:axId val="5065051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311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[Excel_Project_1_Sales_Analytics_practice_completed.xlsx]region!PivotTable19</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REGION-WISE</a:t>
            </a:r>
            <a:r>
              <a:rPr lang="en-IN" baseline="0"/>
              <a:t> SALES AND PROFIT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Sum of 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region!$A$4:$A$8</c:f>
              <c:strCache>
                <c:ptCount val="5"/>
                <c:pt idx="0">
                  <c:v>Central</c:v>
                </c:pt>
                <c:pt idx="1">
                  <c:v>East</c:v>
                </c:pt>
                <c:pt idx="2">
                  <c:v>North</c:v>
                </c:pt>
                <c:pt idx="3">
                  <c:v>South</c:v>
                </c:pt>
                <c:pt idx="4">
                  <c:v>West</c:v>
                </c:pt>
              </c:strCache>
            </c:strRef>
          </c:cat>
          <c:val>
            <c:numRef>
              <c:f>region!$B$4:$B$8</c:f>
              <c:numCache>
                <c:formatCode>General</c:formatCode>
                <c:ptCount val="5"/>
                <c:pt idx="0">
                  <c:v>1060298.21</c:v>
                </c:pt>
                <c:pt idx="1">
                  <c:v>1228906.8600000001</c:v>
                </c:pt>
                <c:pt idx="2">
                  <c:v>1011395.1199999998</c:v>
                </c:pt>
                <c:pt idx="3">
                  <c:v>1062900.51</c:v>
                </c:pt>
                <c:pt idx="4">
                  <c:v>1311673.1699999995</c:v>
                </c:pt>
              </c:numCache>
            </c:numRef>
          </c:val>
          <c:extLst>
            <c:ext xmlns:c16="http://schemas.microsoft.com/office/drawing/2014/chart" uri="{C3380CC4-5D6E-409C-BE32-E72D297353CC}">
              <c16:uniqueId val="{00000000-E34D-4043-B293-1BB0CD621A64}"/>
            </c:ext>
          </c:extLst>
        </c:ser>
        <c:ser>
          <c:idx val="1"/>
          <c:order val="1"/>
          <c:tx>
            <c:strRef>
              <c:f>region!$C$3</c:f>
              <c:strCache>
                <c:ptCount val="1"/>
                <c:pt idx="0">
                  <c:v>Sum of Sales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region!$A$4:$A$8</c:f>
              <c:strCache>
                <c:ptCount val="5"/>
                <c:pt idx="0">
                  <c:v>Central</c:v>
                </c:pt>
                <c:pt idx="1">
                  <c:v>East</c:v>
                </c:pt>
                <c:pt idx="2">
                  <c:v>North</c:v>
                </c:pt>
                <c:pt idx="3">
                  <c:v>South</c:v>
                </c:pt>
                <c:pt idx="4">
                  <c:v>West</c:v>
                </c:pt>
              </c:strCache>
            </c:strRef>
          </c:cat>
          <c:val>
            <c:numRef>
              <c:f>region!$C$4:$C$8</c:f>
              <c:numCache>
                <c:formatCode>General</c:formatCode>
                <c:ptCount val="5"/>
                <c:pt idx="0">
                  <c:v>7052448.8600000013</c:v>
                </c:pt>
                <c:pt idx="1">
                  <c:v>8206522.0600000024</c:v>
                </c:pt>
                <c:pt idx="2">
                  <c:v>6257301.2100000028</c:v>
                </c:pt>
                <c:pt idx="3">
                  <c:v>7284234.3899999987</c:v>
                </c:pt>
                <c:pt idx="4">
                  <c:v>9246349.7200000025</c:v>
                </c:pt>
              </c:numCache>
            </c:numRef>
          </c:val>
          <c:extLst>
            <c:ext xmlns:c16="http://schemas.microsoft.com/office/drawing/2014/chart" uri="{C3380CC4-5D6E-409C-BE32-E72D297353CC}">
              <c16:uniqueId val="{00000001-E34D-4043-B293-1BB0CD621A64}"/>
            </c:ext>
          </c:extLst>
        </c:ser>
        <c:dLbls>
          <c:dLblPos val="outEnd"/>
          <c:showLegendKey val="0"/>
          <c:showVal val="1"/>
          <c:showCatName val="0"/>
          <c:showSerName val="0"/>
          <c:showPercent val="0"/>
          <c:showBubbleSize val="0"/>
        </c:dLbls>
        <c:gapWidth val="100"/>
        <c:overlap val="-24"/>
        <c:axId val="1378693055"/>
        <c:axId val="506528207"/>
      </c:barChart>
      <c:catAx>
        <c:axId val="1378693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506528207"/>
        <c:crosses val="autoZero"/>
        <c:auto val="1"/>
        <c:lblAlgn val="ctr"/>
        <c:lblOffset val="100"/>
        <c:noMultiLvlLbl val="0"/>
      </c:catAx>
      <c:valAx>
        <c:axId val="506528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37869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[Excel_Project_1_Sales_Analytics_practice_completed.xlsx]category!PivotTable20</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CATEGORY-WISE</a:t>
            </a:r>
            <a:r>
              <a:rPr lang="en-IN" baseline="0"/>
              <a:t> SALES PERFORMANCE</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86769999521201"/>
          <c:y val="0.34816373380049093"/>
          <c:w val="0.51838271459848617"/>
          <c:h val="0.58042850588349792"/>
        </c:manualLayout>
      </c:layout>
      <c:barChart>
        <c:barDir val="bar"/>
        <c:grouping val="clustered"/>
        <c:varyColors val="0"/>
        <c:ser>
          <c:idx val="0"/>
          <c:order val="0"/>
          <c:tx>
            <c:strRef>
              <c:f>category!$B$3</c:f>
              <c:strCache>
                <c:ptCount val="1"/>
                <c:pt idx="0">
                  <c:v>Sum of Sales Amount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2">
                        <a:lumMod val="50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category!$A$4:$A$7</c:f>
              <c:strCache>
                <c:ptCount val="4"/>
                <c:pt idx="0">
                  <c:v>Accessories</c:v>
                </c:pt>
                <c:pt idx="1">
                  <c:v>Electronics</c:v>
                </c:pt>
                <c:pt idx="2">
                  <c:v>Furniture</c:v>
                </c:pt>
                <c:pt idx="3">
                  <c:v>Office Equipment</c:v>
                </c:pt>
              </c:strCache>
            </c:strRef>
          </c:cat>
          <c:val>
            <c:numRef>
              <c:f>category!$B$4:$B$7</c:f>
              <c:numCache>
                <c:formatCode>General</c:formatCode>
                <c:ptCount val="4"/>
                <c:pt idx="0">
                  <c:v>2960282.0200000019</c:v>
                </c:pt>
                <c:pt idx="1">
                  <c:v>25406574.379999995</c:v>
                </c:pt>
                <c:pt idx="2">
                  <c:v>6148710.3500000043</c:v>
                </c:pt>
                <c:pt idx="3">
                  <c:v>3531289.49</c:v>
                </c:pt>
              </c:numCache>
            </c:numRef>
          </c:val>
          <c:extLst>
            <c:ext xmlns:c16="http://schemas.microsoft.com/office/drawing/2014/chart" uri="{C3380CC4-5D6E-409C-BE32-E72D297353CC}">
              <c16:uniqueId val="{00000000-11C7-4399-A26B-89ABCBB26140}"/>
            </c:ext>
          </c:extLst>
        </c:ser>
        <c:ser>
          <c:idx val="1"/>
          <c:order val="1"/>
          <c:tx>
            <c:strRef>
              <c:f>category!$C$3</c:f>
              <c:strCache>
                <c:ptCount val="1"/>
                <c:pt idx="0">
                  <c:v>Sum of Profit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category!$A$4:$A$7</c:f>
              <c:strCache>
                <c:ptCount val="4"/>
                <c:pt idx="0">
                  <c:v>Accessories</c:v>
                </c:pt>
                <c:pt idx="1">
                  <c:v>Electronics</c:v>
                </c:pt>
                <c:pt idx="2">
                  <c:v>Furniture</c:v>
                </c:pt>
                <c:pt idx="3">
                  <c:v>Office Equipment</c:v>
                </c:pt>
              </c:strCache>
            </c:strRef>
          </c:cat>
          <c:val>
            <c:numRef>
              <c:f>category!$C$4:$C$7</c:f>
              <c:numCache>
                <c:formatCode>General</c:formatCode>
                <c:ptCount val="4"/>
                <c:pt idx="0">
                  <c:v>589326.4</c:v>
                </c:pt>
                <c:pt idx="1">
                  <c:v>3107207.9300000006</c:v>
                </c:pt>
                <c:pt idx="2">
                  <c:v>1421486.1299999997</c:v>
                </c:pt>
                <c:pt idx="3">
                  <c:v>557153.40999999992</c:v>
                </c:pt>
              </c:numCache>
            </c:numRef>
          </c:val>
          <c:extLst>
            <c:ext xmlns:c16="http://schemas.microsoft.com/office/drawing/2014/chart" uri="{C3380CC4-5D6E-409C-BE32-E72D297353CC}">
              <c16:uniqueId val="{00000001-11C7-4399-A26B-89ABCBB26140}"/>
            </c:ext>
          </c:extLst>
        </c:ser>
        <c:dLbls>
          <c:dLblPos val="outEnd"/>
          <c:showLegendKey val="0"/>
          <c:showVal val="1"/>
          <c:showCatName val="0"/>
          <c:showSerName val="0"/>
          <c:showPercent val="0"/>
          <c:showBubbleSize val="0"/>
        </c:dLbls>
        <c:gapWidth val="65"/>
        <c:axId val="1579505855"/>
        <c:axId val="1346744751"/>
      </c:barChart>
      <c:catAx>
        <c:axId val="15795058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46744751"/>
        <c:crosses val="autoZero"/>
        <c:auto val="1"/>
        <c:lblAlgn val="ctr"/>
        <c:lblOffset val="100"/>
        <c:noMultiLvlLbl val="0"/>
      </c:catAx>
      <c:valAx>
        <c:axId val="13467447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79505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[Excel_Project_1_Sales_Analytics_practice_completed.xlsx]product!PivotTable21</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solidFill>
                  <a:schemeClr val="tx1"/>
                </a:solidFill>
              </a:rPr>
              <a:t>TOP</a:t>
            </a:r>
            <a:r>
              <a:rPr lang="en-IN" baseline="0">
                <a:solidFill>
                  <a:schemeClr val="tx1"/>
                </a:solidFill>
              </a:rPr>
              <a:t> 5 PRODUCTS BY REVENUE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spPr>
          <a:solidFill>
            <a:schemeClr val="accent2">
              <a:lumMod val="50000"/>
            </a:schemeClr>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product!$B$3</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product!$A$4:$A$8</c:f>
              <c:strCache>
                <c:ptCount val="5"/>
                <c:pt idx="0">
                  <c:v>Desk</c:v>
                </c:pt>
                <c:pt idx="1">
                  <c:v>Laptop</c:v>
                </c:pt>
                <c:pt idx="2">
                  <c:v>Monitor</c:v>
                </c:pt>
                <c:pt idx="3">
                  <c:v>Printer</c:v>
                </c:pt>
                <c:pt idx="4">
                  <c:v>Smartphone</c:v>
                </c:pt>
              </c:strCache>
            </c:strRef>
          </c:cat>
          <c:val>
            <c:numRef>
              <c:f>product!$B$4:$B$8</c:f>
              <c:numCache>
                <c:formatCode>General</c:formatCode>
                <c:ptCount val="5"/>
                <c:pt idx="0">
                  <c:v>3448100.71</c:v>
                </c:pt>
                <c:pt idx="1">
                  <c:v>11680007.160000002</c:v>
                </c:pt>
                <c:pt idx="2">
                  <c:v>3693935.91</c:v>
                </c:pt>
                <c:pt idx="3">
                  <c:v>3531289.49</c:v>
                </c:pt>
                <c:pt idx="4">
                  <c:v>6838384.5700000003</c:v>
                </c:pt>
              </c:numCache>
            </c:numRef>
          </c:val>
          <c:extLst>
            <c:ext xmlns:c16="http://schemas.microsoft.com/office/drawing/2014/chart" uri="{C3380CC4-5D6E-409C-BE32-E72D297353CC}">
              <c16:uniqueId val="{00000000-FE97-421F-B9A8-4F9BB84D1F0B}"/>
            </c:ext>
          </c:extLst>
        </c:ser>
        <c:dLbls>
          <c:dLblPos val="outEnd"/>
          <c:showLegendKey val="0"/>
          <c:showVal val="1"/>
          <c:showCatName val="0"/>
          <c:showSerName val="0"/>
          <c:showPercent val="0"/>
          <c:showBubbleSize val="0"/>
        </c:dLbls>
        <c:gapWidth val="247"/>
        <c:axId val="1681227935"/>
        <c:axId val="1346770191"/>
      </c:barChart>
      <c:catAx>
        <c:axId val="168122793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2">
                    <a:lumMod val="50000"/>
                  </a:schemeClr>
                </a:solidFill>
                <a:latin typeface="+mn-lt"/>
                <a:ea typeface="+mn-ea"/>
                <a:cs typeface="+mn-cs"/>
              </a:defRPr>
            </a:pPr>
            <a:endParaRPr lang="en-US"/>
          </a:p>
        </c:txPr>
        <c:crossAx val="1346770191"/>
        <c:crosses val="autoZero"/>
        <c:auto val="1"/>
        <c:lblAlgn val="ctr"/>
        <c:lblOffset val="100"/>
        <c:noMultiLvlLbl val="0"/>
      </c:catAx>
      <c:valAx>
        <c:axId val="134677019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68122793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[Excel_Project_1_Sales_Analytics_practice_completed.xlsx]salesperson!PivotTable22</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SALESPERSON PERFORMANCE</a:t>
            </a:r>
          </a:p>
        </c:rich>
      </c:tx>
      <c:layout>
        <c:manualLayout>
          <c:xMode val="edge"/>
          <c:yMode val="edge"/>
          <c:x val="0.31771522309711292"/>
          <c:y val="9.028262289998560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salesperson!$B$3</c:f>
              <c:strCache>
                <c:ptCount val="1"/>
                <c:pt idx="0">
                  <c:v>Sum of Sales Amount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salesperson!$A$4:$A$12</c:f>
              <c:strCache>
                <c:ptCount val="9"/>
                <c:pt idx="0">
                  <c:v>Aarav</c:v>
                </c:pt>
                <c:pt idx="1">
                  <c:v>Ananya</c:v>
                </c:pt>
                <c:pt idx="2">
                  <c:v>Arjun</c:v>
                </c:pt>
                <c:pt idx="3">
                  <c:v>Diya</c:v>
                </c:pt>
                <c:pt idx="4">
                  <c:v>Kabir</c:v>
                </c:pt>
                <c:pt idx="5">
                  <c:v>Meera</c:v>
                </c:pt>
                <c:pt idx="6">
                  <c:v>Rohan</c:v>
                </c:pt>
                <c:pt idx="7">
                  <c:v>Rohan </c:v>
                </c:pt>
                <c:pt idx="8">
                  <c:v>Sara</c:v>
                </c:pt>
              </c:strCache>
            </c:strRef>
          </c:cat>
          <c:val>
            <c:numRef>
              <c:f>salesperson!$B$4:$B$12</c:f>
              <c:numCache>
                <c:formatCode>General</c:formatCode>
                <c:ptCount val="9"/>
                <c:pt idx="0">
                  <c:v>5327555.3299999991</c:v>
                </c:pt>
                <c:pt idx="1">
                  <c:v>4476948.1499999994</c:v>
                </c:pt>
                <c:pt idx="2">
                  <c:v>5237271.2200000016</c:v>
                </c:pt>
                <c:pt idx="3">
                  <c:v>4984401.0799999982</c:v>
                </c:pt>
                <c:pt idx="4">
                  <c:v>4405350.66</c:v>
                </c:pt>
                <c:pt idx="5">
                  <c:v>4663637.2400000021</c:v>
                </c:pt>
                <c:pt idx="6">
                  <c:v>4486781.95</c:v>
                </c:pt>
                <c:pt idx="7">
                  <c:v>41779.120000000003</c:v>
                </c:pt>
                <c:pt idx="8">
                  <c:v>4423131.49</c:v>
                </c:pt>
              </c:numCache>
            </c:numRef>
          </c:val>
          <c:extLst>
            <c:ext xmlns:c16="http://schemas.microsoft.com/office/drawing/2014/chart" uri="{C3380CC4-5D6E-409C-BE32-E72D297353CC}">
              <c16:uniqueId val="{00000000-6ACE-4BA0-A56E-D1FCBDB46E30}"/>
            </c:ext>
          </c:extLst>
        </c:ser>
        <c:ser>
          <c:idx val="1"/>
          <c:order val="1"/>
          <c:tx>
            <c:strRef>
              <c:f>salesperson!$C$3</c:f>
              <c:strCache>
                <c:ptCount val="1"/>
                <c:pt idx="0">
                  <c:v>Sum of Profit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salesperson!$A$4:$A$12</c:f>
              <c:strCache>
                <c:ptCount val="9"/>
                <c:pt idx="0">
                  <c:v>Aarav</c:v>
                </c:pt>
                <c:pt idx="1">
                  <c:v>Ananya</c:v>
                </c:pt>
                <c:pt idx="2">
                  <c:v>Arjun</c:v>
                </c:pt>
                <c:pt idx="3">
                  <c:v>Diya</c:v>
                </c:pt>
                <c:pt idx="4">
                  <c:v>Kabir</c:v>
                </c:pt>
                <c:pt idx="5">
                  <c:v>Meera</c:v>
                </c:pt>
                <c:pt idx="6">
                  <c:v>Rohan</c:v>
                </c:pt>
                <c:pt idx="7">
                  <c:v>Rohan </c:v>
                </c:pt>
                <c:pt idx="8">
                  <c:v>Sara</c:v>
                </c:pt>
              </c:strCache>
            </c:strRef>
          </c:cat>
          <c:val>
            <c:numRef>
              <c:f>salesperson!$C$4:$C$12</c:f>
              <c:numCache>
                <c:formatCode>General</c:formatCode>
                <c:ptCount val="9"/>
                <c:pt idx="0">
                  <c:v>749748.78</c:v>
                </c:pt>
                <c:pt idx="1">
                  <c:v>662436.79</c:v>
                </c:pt>
                <c:pt idx="2">
                  <c:v>812934.82</c:v>
                </c:pt>
                <c:pt idx="3">
                  <c:v>783009.15999999992</c:v>
                </c:pt>
                <c:pt idx="4">
                  <c:v>633980.63000000024</c:v>
                </c:pt>
                <c:pt idx="5">
                  <c:v>654281.2300000001</c:v>
                </c:pt>
                <c:pt idx="6">
                  <c:v>671587.28999999992</c:v>
                </c:pt>
                <c:pt idx="7">
                  <c:v>12110.04</c:v>
                </c:pt>
                <c:pt idx="8">
                  <c:v>695085.13</c:v>
                </c:pt>
              </c:numCache>
            </c:numRef>
          </c:val>
          <c:extLst>
            <c:ext xmlns:c16="http://schemas.microsoft.com/office/drawing/2014/chart" uri="{C3380CC4-5D6E-409C-BE32-E72D297353CC}">
              <c16:uniqueId val="{00000001-6ACE-4BA0-A56E-D1FCBDB46E30}"/>
            </c:ext>
          </c:extLst>
        </c:ser>
        <c:dLbls>
          <c:dLblPos val="outEnd"/>
          <c:showLegendKey val="0"/>
          <c:showVal val="1"/>
          <c:showCatName val="0"/>
          <c:showSerName val="0"/>
          <c:showPercent val="0"/>
          <c:showBubbleSize val="0"/>
        </c:dLbls>
        <c:gapWidth val="444"/>
        <c:overlap val="-90"/>
        <c:axId val="1716750623"/>
        <c:axId val="1346870991"/>
      </c:barChart>
      <c:catAx>
        <c:axId val="171675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46870991"/>
        <c:crosses val="autoZero"/>
        <c:auto val="1"/>
        <c:lblAlgn val="ctr"/>
        <c:lblOffset val="100"/>
        <c:noMultiLvlLbl val="0"/>
      </c:catAx>
      <c:valAx>
        <c:axId val="1346870991"/>
        <c:scaling>
          <c:orientation val="minMax"/>
        </c:scaling>
        <c:delete val="1"/>
        <c:axPos val="l"/>
        <c:numFmt formatCode="General" sourceLinked="1"/>
        <c:majorTickMark val="none"/>
        <c:minorTickMark val="none"/>
        <c:tickLblPos val="nextTo"/>
        <c:crossAx val="171675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2</xdr:col>
      <xdr:colOff>609484</xdr:colOff>
      <xdr:row>1</xdr:row>
      <xdr:rowOff>114115</xdr:rowOff>
    </xdr:from>
    <xdr:ext cx="10150086" cy="937629"/>
    <xdr:sp macro="" textlink="">
      <xdr:nvSpPr>
        <xdr:cNvPr id="6" name="Rectangle 5">
          <a:extLst>
            <a:ext uri="{FF2B5EF4-FFF2-40B4-BE49-F238E27FC236}">
              <a16:creationId xmlns:a16="http://schemas.microsoft.com/office/drawing/2014/main" id="{7CAF5285-BE37-779D-3291-4C14BF5D93A3}"/>
            </a:ext>
          </a:extLst>
        </xdr:cNvPr>
        <xdr:cNvSpPr/>
      </xdr:nvSpPr>
      <xdr:spPr>
        <a:xfrm>
          <a:off x="1828684" y="296995"/>
          <a:ext cx="10150086" cy="937629"/>
        </a:xfrm>
        <a:prstGeom prst="rect">
          <a:avLst/>
        </a:prstGeom>
        <a:noFill/>
      </xdr:spPr>
      <xdr:txBody>
        <a:bodyPr wrap="none" lIns="91440" tIns="45720" rIns="91440" bIns="45720">
          <a:spAutoFit/>
        </a:bodyPr>
        <a:lstStyle/>
        <a:p>
          <a:pPr algn="ctr"/>
          <a:r>
            <a:rPr lang="en-US" sz="5400" b="0" cap="none" spc="0">
              <a:ln w="0"/>
              <a:solidFill>
                <a:schemeClr val="tx1"/>
              </a:solidFill>
              <a:effectLst>
                <a:outerShdw blurRad="38100" dist="19050" dir="2700000" algn="tl" rotWithShape="0">
                  <a:schemeClr val="dk1">
                    <a:alpha val="40000"/>
                  </a:schemeClr>
                </a:outerShdw>
              </a:effectLst>
            </a:rPr>
            <a:t>SALES</a:t>
          </a:r>
          <a:r>
            <a:rPr lang="en-US" sz="5400" b="0" cap="none" spc="0" baseline="0">
              <a:ln w="0"/>
              <a:solidFill>
                <a:schemeClr val="tx1"/>
              </a:solidFill>
              <a:effectLst>
                <a:outerShdw blurRad="38100" dist="19050" dir="2700000" algn="tl" rotWithShape="0">
                  <a:schemeClr val="dk1">
                    <a:alpha val="40000"/>
                  </a:schemeClr>
                </a:outerShdw>
              </a:effectLst>
            </a:rPr>
            <a:t> PERFORMANCE DASHBOARD</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2</xdr:col>
      <xdr:colOff>342900</xdr:colOff>
      <xdr:row>10</xdr:row>
      <xdr:rowOff>68580</xdr:rowOff>
    </xdr:from>
    <xdr:to>
      <xdr:col>6</xdr:col>
      <xdr:colOff>129540</xdr:colOff>
      <xdr:row>14</xdr:row>
      <xdr:rowOff>152400</xdr:rowOff>
    </xdr:to>
    <xdr:sp macro="" textlink="">
      <xdr:nvSpPr>
        <xdr:cNvPr id="7" name="Rectangle: Rounded Corners 6">
          <a:extLst>
            <a:ext uri="{FF2B5EF4-FFF2-40B4-BE49-F238E27FC236}">
              <a16:creationId xmlns:a16="http://schemas.microsoft.com/office/drawing/2014/main" id="{FA1C6BCF-ED87-260F-DB30-45B844B36A47}"/>
            </a:ext>
          </a:extLst>
        </xdr:cNvPr>
        <xdr:cNvSpPr/>
      </xdr:nvSpPr>
      <xdr:spPr>
        <a:xfrm>
          <a:off x="1562100" y="189738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480060</xdr:colOff>
      <xdr:row>17</xdr:row>
      <xdr:rowOff>68580</xdr:rowOff>
    </xdr:from>
    <xdr:to>
      <xdr:col>20</xdr:col>
      <xdr:colOff>266700</xdr:colOff>
      <xdr:row>21</xdr:row>
      <xdr:rowOff>152400</xdr:rowOff>
    </xdr:to>
    <xdr:sp macro="" textlink="">
      <xdr:nvSpPr>
        <xdr:cNvPr id="8" name="Rectangle: Rounded Corners 7">
          <a:extLst>
            <a:ext uri="{FF2B5EF4-FFF2-40B4-BE49-F238E27FC236}">
              <a16:creationId xmlns:a16="http://schemas.microsoft.com/office/drawing/2014/main" id="{EF3D9BC2-1F8C-42B5-A54F-0F4076F371E2}"/>
            </a:ext>
          </a:extLst>
        </xdr:cNvPr>
        <xdr:cNvSpPr/>
      </xdr:nvSpPr>
      <xdr:spPr>
        <a:xfrm>
          <a:off x="10233660" y="317754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464820</xdr:colOff>
      <xdr:row>17</xdr:row>
      <xdr:rowOff>91440</xdr:rowOff>
    </xdr:from>
    <xdr:to>
      <xdr:col>13</xdr:col>
      <xdr:colOff>251460</xdr:colOff>
      <xdr:row>21</xdr:row>
      <xdr:rowOff>175260</xdr:rowOff>
    </xdr:to>
    <xdr:sp macro="" textlink="">
      <xdr:nvSpPr>
        <xdr:cNvPr id="9" name="Rectangle: Rounded Corners 8">
          <a:extLst>
            <a:ext uri="{FF2B5EF4-FFF2-40B4-BE49-F238E27FC236}">
              <a16:creationId xmlns:a16="http://schemas.microsoft.com/office/drawing/2014/main" id="{71F3D237-D084-4F5E-9CE7-B000E7AAD3F7}"/>
            </a:ext>
          </a:extLst>
        </xdr:cNvPr>
        <xdr:cNvSpPr/>
      </xdr:nvSpPr>
      <xdr:spPr>
        <a:xfrm>
          <a:off x="5951220" y="320040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304800</xdr:colOff>
      <xdr:row>17</xdr:row>
      <xdr:rowOff>76200</xdr:rowOff>
    </xdr:from>
    <xdr:to>
      <xdr:col>6</xdr:col>
      <xdr:colOff>91440</xdr:colOff>
      <xdr:row>21</xdr:row>
      <xdr:rowOff>160020</xdr:rowOff>
    </xdr:to>
    <xdr:sp macro="" textlink="">
      <xdr:nvSpPr>
        <xdr:cNvPr id="10" name="Rectangle: Rounded Corners 9">
          <a:extLst>
            <a:ext uri="{FF2B5EF4-FFF2-40B4-BE49-F238E27FC236}">
              <a16:creationId xmlns:a16="http://schemas.microsoft.com/office/drawing/2014/main" id="{02C080FD-C997-461F-9380-2E6FB2DE20F4}"/>
            </a:ext>
          </a:extLst>
        </xdr:cNvPr>
        <xdr:cNvSpPr/>
      </xdr:nvSpPr>
      <xdr:spPr>
        <a:xfrm>
          <a:off x="1524000" y="318516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518160</xdr:colOff>
      <xdr:row>10</xdr:row>
      <xdr:rowOff>83820</xdr:rowOff>
    </xdr:from>
    <xdr:to>
      <xdr:col>20</xdr:col>
      <xdr:colOff>304800</xdr:colOff>
      <xdr:row>14</xdr:row>
      <xdr:rowOff>167640</xdr:rowOff>
    </xdr:to>
    <xdr:sp macro="" textlink="">
      <xdr:nvSpPr>
        <xdr:cNvPr id="11" name="Rectangle: Rounded Corners 10">
          <a:extLst>
            <a:ext uri="{FF2B5EF4-FFF2-40B4-BE49-F238E27FC236}">
              <a16:creationId xmlns:a16="http://schemas.microsoft.com/office/drawing/2014/main" id="{990FAE6F-8E5D-41CB-A352-4D65876F4201}"/>
            </a:ext>
          </a:extLst>
        </xdr:cNvPr>
        <xdr:cNvSpPr/>
      </xdr:nvSpPr>
      <xdr:spPr>
        <a:xfrm>
          <a:off x="10271760" y="191262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434340</xdr:colOff>
      <xdr:row>10</xdr:row>
      <xdr:rowOff>45720</xdr:rowOff>
    </xdr:from>
    <xdr:to>
      <xdr:col>13</xdr:col>
      <xdr:colOff>220980</xdr:colOff>
      <xdr:row>14</xdr:row>
      <xdr:rowOff>129540</xdr:rowOff>
    </xdr:to>
    <xdr:sp macro="" textlink="">
      <xdr:nvSpPr>
        <xdr:cNvPr id="12" name="Rectangle: Rounded Corners 11">
          <a:extLst>
            <a:ext uri="{FF2B5EF4-FFF2-40B4-BE49-F238E27FC236}">
              <a16:creationId xmlns:a16="http://schemas.microsoft.com/office/drawing/2014/main" id="{244A28FB-BEE5-4D5B-8D31-EC47563EF676}"/>
            </a:ext>
          </a:extLst>
        </xdr:cNvPr>
        <xdr:cNvSpPr/>
      </xdr:nvSpPr>
      <xdr:spPr>
        <a:xfrm>
          <a:off x="5920740" y="1874520"/>
          <a:ext cx="2225040" cy="8153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548640</xdr:colOff>
      <xdr:row>11</xdr:row>
      <xdr:rowOff>7620</xdr:rowOff>
    </xdr:from>
    <xdr:to>
      <xdr:col>5</xdr:col>
      <xdr:colOff>480060</xdr:colOff>
      <xdr:row>14</xdr:row>
      <xdr:rowOff>15241</xdr:rowOff>
    </xdr:to>
    <xdr:sp macro="" textlink="Sheet2!A15">
      <xdr:nvSpPr>
        <xdr:cNvPr id="13" name="TextBox 12">
          <a:extLst>
            <a:ext uri="{FF2B5EF4-FFF2-40B4-BE49-F238E27FC236}">
              <a16:creationId xmlns:a16="http://schemas.microsoft.com/office/drawing/2014/main" id="{6DC1010B-0224-F295-0851-675C404146D7}"/>
            </a:ext>
          </a:extLst>
        </xdr:cNvPr>
        <xdr:cNvSpPr txBox="1"/>
      </xdr:nvSpPr>
      <xdr:spPr>
        <a:xfrm>
          <a:off x="1767840" y="2019300"/>
          <a:ext cx="1760220" cy="5562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 </a:t>
          </a:r>
          <a:r>
            <a:rPr lang="en-IN" sz="1100" baseline="0">
              <a:solidFill>
                <a:schemeClr val="dk1"/>
              </a:solidFill>
              <a:effectLst/>
              <a:latin typeface="+mn-lt"/>
              <a:ea typeface="+mn-ea"/>
              <a:cs typeface="+mn-cs"/>
            </a:rPr>
            <a:t>        </a:t>
          </a:r>
          <a:r>
            <a:rPr lang="en-IN" sz="1100">
              <a:solidFill>
                <a:schemeClr val="dk1"/>
              </a:solidFill>
              <a:effectLst/>
              <a:latin typeface="+mn-lt"/>
              <a:ea typeface="+mn-ea"/>
              <a:cs typeface="+mn-cs"/>
            </a:rPr>
            <a:t>TOTAL</a:t>
          </a:r>
          <a:r>
            <a:rPr lang="en-IN" sz="1100" baseline="0">
              <a:solidFill>
                <a:schemeClr val="dk1"/>
              </a:solidFill>
              <a:effectLst/>
              <a:latin typeface="+mn-lt"/>
              <a:ea typeface="+mn-ea"/>
              <a:cs typeface="+mn-cs"/>
            </a:rPr>
            <a:t> REVENUE</a:t>
          </a:r>
          <a:endParaRPr lang="en-US" sz="1100" b="0" i="0" u="none" strike="noStrike">
            <a:solidFill>
              <a:srgbClr val="000000"/>
            </a:solidFill>
            <a:latin typeface="Calibri"/>
            <a:ea typeface="Calibri"/>
            <a:cs typeface="Calibri"/>
          </a:endParaRPr>
        </a:p>
        <a:p>
          <a:r>
            <a:rPr lang="en-US" sz="1100" b="0" i="0" u="none" strike="noStrike">
              <a:solidFill>
                <a:srgbClr val="000000"/>
              </a:solidFill>
              <a:latin typeface="Calibri"/>
              <a:ea typeface="Calibri"/>
              <a:cs typeface="Calibri"/>
            </a:rPr>
            <a:t>                 </a:t>
          </a:r>
          <a:fld id="{1709DF9D-204D-489C-8C5F-BF4AB1D78383}" type="TxLink">
            <a:rPr lang="en-US" sz="1100" b="0" i="0" u="none" strike="noStrike">
              <a:solidFill>
                <a:srgbClr val="000000"/>
              </a:solidFill>
              <a:latin typeface="Calibri"/>
              <a:ea typeface="Calibri"/>
              <a:cs typeface="Calibri"/>
            </a:rPr>
            <a:pPr/>
            <a:t>38.05M</a:t>
          </a:fld>
          <a:endParaRPr lang="en-US" sz="1100"/>
        </a:p>
      </xdr:txBody>
    </xdr:sp>
    <xdr:clientData/>
  </xdr:twoCellAnchor>
  <xdr:twoCellAnchor>
    <xdr:from>
      <xdr:col>10</xdr:col>
      <xdr:colOff>76200</xdr:colOff>
      <xdr:row>11</xdr:row>
      <xdr:rowOff>38100</xdr:rowOff>
    </xdr:from>
    <xdr:to>
      <xdr:col>12</xdr:col>
      <xdr:colOff>556260</xdr:colOff>
      <xdr:row>13</xdr:row>
      <xdr:rowOff>167640</xdr:rowOff>
    </xdr:to>
    <xdr:sp macro="" textlink="Sheet2!C15">
      <xdr:nvSpPr>
        <xdr:cNvPr id="15" name="TextBox 14">
          <a:extLst>
            <a:ext uri="{FF2B5EF4-FFF2-40B4-BE49-F238E27FC236}">
              <a16:creationId xmlns:a16="http://schemas.microsoft.com/office/drawing/2014/main" id="{651680FF-7F04-0DBC-B579-B502D08A23BD}"/>
            </a:ext>
          </a:extLst>
        </xdr:cNvPr>
        <xdr:cNvSpPr txBox="1"/>
      </xdr:nvSpPr>
      <xdr:spPr>
        <a:xfrm>
          <a:off x="6172200" y="2049780"/>
          <a:ext cx="169926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TOTAL ORDERS    </a:t>
          </a:r>
        </a:p>
        <a:p>
          <a:r>
            <a:rPr lang="en-US" sz="1100" b="0" i="0" u="none" strike="noStrike" baseline="0">
              <a:solidFill>
                <a:srgbClr val="000000"/>
              </a:solidFill>
              <a:latin typeface="Calibri"/>
              <a:ea typeface="Calibri"/>
              <a:cs typeface="Calibri"/>
            </a:rPr>
            <a:t>                     </a:t>
          </a:r>
          <a:fld id="{F4B1896C-78B7-4A89-9ECD-7E419CA1C895}" type="TxLink">
            <a:rPr lang="en-US" sz="1100" b="0" i="0" u="none" strike="noStrike">
              <a:solidFill>
                <a:srgbClr val="000000"/>
              </a:solidFill>
              <a:latin typeface="Calibri"/>
              <a:ea typeface="Calibri"/>
              <a:cs typeface="Calibri"/>
            </a:rPr>
            <a:pPr/>
            <a:t>500</a:t>
          </a:fld>
          <a:endParaRPr lang="en-IN" sz="1100"/>
        </a:p>
      </xdr:txBody>
    </xdr:sp>
    <xdr:clientData/>
  </xdr:twoCellAnchor>
  <xdr:twoCellAnchor>
    <xdr:from>
      <xdr:col>17</xdr:col>
      <xdr:colOff>129540</xdr:colOff>
      <xdr:row>11</xdr:row>
      <xdr:rowOff>68580</xdr:rowOff>
    </xdr:from>
    <xdr:to>
      <xdr:col>20</xdr:col>
      <xdr:colOff>68580</xdr:colOff>
      <xdr:row>14</xdr:row>
      <xdr:rowOff>15240</xdr:rowOff>
    </xdr:to>
    <xdr:sp macro="" textlink="Sheet2!E15">
      <xdr:nvSpPr>
        <xdr:cNvPr id="16" name="TextBox 15">
          <a:extLst>
            <a:ext uri="{FF2B5EF4-FFF2-40B4-BE49-F238E27FC236}">
              <a16:creationId xmlns:a16="http://schemas.microsoft.com/office/drawing/2014/main" id="{36D28C75-4B33-390A-5857-7FB69F03BD46}"/>
            </a:ext>
          </a:extLst>
        </xdr:cNvPr>
        <xdr:cNvSpPr txBox="1"/>
      </xdr:nvSpPr>
      <xdr:spPr>
        <a:xfrm>
          <a:off x="10492740" y="2080260"/>
          <a:ext cx="176784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rgbClr val="000000"/>
              </a:solidFill>
              <a:latin typeface="Calibri"/>
              <a:ea typeface="Calibri"/>
              <a:cs typeface="Calibri"/>
            </a:rPr>
            <a:t>             </a:t>
          </a:r>
          <a:r>
            <a:rPr lang="en-US" sz="1100" b="0" i="0" u="none" strike="noStrike">
              <a:solidFill>
                <a:srgbClr val="000000"/>
              </a:solidFill>
              <a:latin typeface="Calibri"/>
              <a:ea typeface="Calibri"/>
              <a:cs typeface="Calibri"/>
            </a:rPr>
            <a:t>TOTAL</a:t>
          </a:r>
          <a:r>
            <a:rPr lang="en-US" sz="1100" b="0" i="0" u="none" strike="noStrike" baseline="0">
              <a:solidFill>
                <a:srgbClr val="000000"/>
              </a:solidFill>
              <a:latin typeface="Calibri"/>
              <a:ea typeface="Calibri"/>
              <a:cs typeface="Calibri"/>
            </a:rPr>
            <a:t> PROFIT</a:t>
          </a:r>
          <a:endParaRPr lang="en-US" sz="1100" b="0" i="0" u="none" strike="noStrike">
            <a:solidFill>
              <a:srgbClr val="000000"/>
            </a:solidFill>
            <a:latin typeface="Calibri"/>
            <a:ea typeface="Calibri"/>
            <a:cs typeface="Calibri"/>
          </a:endParaRPr>
        </a:p>
        <a:p>
          <a:r>
            <a:rPr lang="en-US" sz="1100" b="0" i="0" u="none" strike="noStrike">
              <a:solidFill>
                <a:srgbClr val="000000"/>
              </a:solidFill>
              <a:latin typeface="Calibri"/>
              <a:ea typeface="Calibri"/>
              <a:cs typeface="Calibri"/>
            </a:rPr>
            <a:t>                    </a:t>
          </a:r>
          <a:fld id="{296D0E6F-EFDD-4C1C-A57F-2EF3E8AB7586}" type="TxLink">
            <a:rPr lang="en-US" sz="1100" b="0" i="0" u="none" strike="noStrike">
              <a:solidFill>
                <a:srgbClr val="000000"/>
              </a:solidFill>
              <a:latin typeface="Calibri"/>
              <a:ea typeface="Calibri"/>
              <a:cs typeface="Calibri"/>
            </a:rPr>
            <a:pPr/>
            <a:t>5.68M</a:t>
          </a:fld>
          <a:endParaRPr lang="en-US" sz="1100"/>
        </a:p>
      </xdr:txBody>
    </xdr:sp>
    <xdr:clientData/>
  </xdr:twoCellAnchor>
  <xdr:twoCellAnchor>
    <xdr:from>
      <xdr:col>10</xdr:col>
      <xdr:colOff>30480</xdr:colOff>
      <xdr:row>18</xdr:row>
      <xdr:rowOff>91440</xdr:rowOff>
    </xdr:from>
    <xdr:to>
      <xdr:col>13</xdr:col>
      <xdr:colOff>60960</xdr:colOff>
      <xdr:row>21</xdr:row>
      <xdr:rowOff>15240</xdr:rowOff>
    </xdr:to>
    <xdr:sp macro="" textlink="">
      <xdr:nvSpPr>
        <xdr:cNvPr id="17" name="TextBox 16">
          <a:extLst>
            <a:ext uri="{FF2B5EF4-FFF2-40B4-BE49-F238E27FC236}">
              <a16:creationId xmlns:a16="http://schemas.microsoft.com/office/drawing/2014/main" id="{11609907-B50F-3C52-0D36-2E125DE72455}"/>
            </a:ext>
          </a:extLst>
        </xdr:cNvPr>
        <xdr:cNvSpPr txBox="1"/>
      </xdr:nvSpPr>
      <xdr:spPr>
        <a:xfrm>
          <a:off x="6126480" y="3383280"/>
          <a:ext cx="1859280"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AVG ORDER VALUE</a:t>
          </a:r>
        </a:p>
        <a:p>
          <a:r>
            <a:rPr lang="en-US" sz="1100" b="0" i="0" u="none" strike="noStrike">
              <a:solidFill>
                <a:srgbClr val="000000"/>
              </a:solidFill>
              <a:latin typeface="Calibri"/>
              <a:ea typeface="Calibri"/>
              <a:cs typeface="Calibri"/>
            </a:rPr>
            <a:t>                    76.09K</a:t>
          </a:r>
        </a:p>
      </xdr:txBody>
    </xdr:sp>
    <xdr:clientData/>
  </xdr:twoCellAnchor>
  <xdr:twoCellAnchor>
    <xdr:from>
      <xdr:col>2</xdr:col>
      <xdr:colOff>533400</xdr:colOff>
      <xdr:row>18</xdr:row>
      <xdr:rowOff>83820</xdr:rowOff>
    </xdr:from>
    <xdr:to>
      <xdr:col>5</xdr:col>
      <xdr:colOff>434340</xdr:colOff>
      <xdr:row>21</xdr:row>
      <xdr:rowOff>15240</xdr:rowOff>
    </xdr:to>
    <xdr:sp macro="" textlink="Sheet2!A19">
      <xdr:nvSpPr>
        <xdr:cNvPr id="18" name="TextBox 17">
          <a:extLst>
            <a:ext uri="{FF2B5EF4-FFF2-40B4-BE49-F238E27FC236}">
              <a16:creationId xmlns:a16="http://schemas.microsoft.com/office/drawing/2014/main" id="{039A9765-0D80-A775-4738-87E01820A8F6}"/>
            </a:ext>
          </a:extLst>
        </xdr:cNvPr>
        <xdr:cNvSpPr txBox="1"/>
      </xdr:nvSpPr>
      <xdr:spPr>
        <a:xfrm>
          <a:off x="1752600" y="3375660"/>
          <a:ext cx="1729740" cy="4800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baseline="0">
              <a:solidFill>
                <a:srgbClr val="000000"/>
              </a:solidFill>
              <a:latin typeface="Calibri"/>
              <a:ea typeface="Calibri"/>
              <a:cs typeface="Calibri"/>
            </a:rPr>
            <a:t>   </a:t>
          </a:r>
          <a:r>
            <a:rPr lang="en-US" sz="1100" b="0" i="0" u="none" strike="noStrike">
              <a:solidFill>
                <a:srgbClr val="000000"/>
              </a:solidFill>
              <a:latin typeface="Calibri"/>
              <a:ea typeface="Calibri"/>
              <a:cs typeface="Calibri"/>
            </a:rPr>
            <a:t>TOTAL QUANTITY SOLD</a:t>
          </a:r>
        </a:p>
        <a:p>
          <a:r>
            <a:rPr lang="en-US" sz="1100" b="0" i="0" u="none" strike="noStrike">
              <a:solidFill>
                <a:srgbClr val="000000"/>
              </a:solidFill>
              <a:latin typeface="Calibri"/>
              <a:ea typeface="Calibri"/>
              <a:cs typeface="Calibri"/>
            </a:rPr>
            <a:t>                   </a:t>
          </a:r>
          <a:fld id="{D9973018-417D-4FF5-97B0-8826E91AB3D9}" type="TxLink">
            <a:rPr lang="en-US" sz="1100" b="0" i="0" u="none" strike="noStrike">
              <a:solidFill>
                <a:srgbClr val="000000"/>
              </a:solidFill>
              <a:latin typeface="Calibri"/>
              <a:ea typeface="Calibri"/>
              <a:cs typeface="Calibri"/>
            </a:rPr>
            <a:pPr/>
            <a:t>1976</a:t>
          </a:fld>
          <a:endParaRPr lang="en-US" sz="1100"/>
        </a:p>
      </xdr:txBody>
    </xdr:sp>
    <xdr:clientData/>
  </xdr:twoCellAnchor>
  <xdr:twoCellAnchor>
    <xdr:from>
      <xdr:col>17</xdr:col>
      <xdr:colOff>106680</xdr:colOff>
      <xdr:row>18</xdr:row>
      <xdr:rowOff>53340</xdr:rowOff>
    </xdr:from>
    <xdr:to>
      <xdr:col>20</xdr:col>
      <xdr:colOff>30480</xdr:colOff>
      <xdr:row>20</xdr:row>
      <xdr:rowOff>160020</xdr:rowOff>
    </xdr:to>
    <xdr:sp macro="" textlink="Sheet2!E9">
      <xdr:nvSpPr>
        <xdr:cNvPr id="19" name="TextBox 18">
          <a:extLst>
            <a:ext uri="{FF2B5EF4-FFF2-40B4-BE49-F238E27FC236}">
              <a16:creationId xmlns:a16="http://schemas.microsoft.com/office/drawing/2014/main" id="{C33BEF40-79E8-3111-308D-CEEFBB908178}"/>
            </a:ext>
          </a:extLst>
        </xdr:cNvPr>
        <xdr:cNvSpPr txBox="1"/>
      </xdr:nvSpPr>
      <xdr:spPr>
        <a:xfrm>
          <a:off x="10469880" y="3345180"/>
          <a:ext cx="1752600"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Calibri"/>
              <a:ea typeface="Calibri"/>
              <a:cs typeface="Calibri"/>
            </a:rPr>
            <a:t>            PROFIT MARGIN</a:t>
          </a:r>
        </a:p>
        <a:p>
          <a:r>
            <a:rPr lang="en-US" sz="1100" b="0" i="0" u="none" strike="noStrike">
              <a:solidFill>
                <a:srgbClr val="000000"/>
              </a:solidFill>
              <a:latin typeface="Calibri"/>
              <a:ea typeface="Calibri"/>
              <a:cs typeface="Calibri"/>
            </a:rPr>
            <a:t>                      </a:t>
          </a:r>
          <a:fld id="{1E1430F4-C3AA-4D35-A6ED-449B3D4F2B09}" type="TxLink">
            <a:rPr lang="en-US" sz="1100" b="0" i="0" u="none" strike="noStrike">
              <a:solidFill>
                <a:srgbClr val="000000"/>
              </a:solidFill>
              <a:latin typeface="Calibri"/>
              <a:ea typeface="Calibri"/>
              <a:cs typeface="Calibri"/>
            </a:rPr>
            <a:pPr/>
            <a:t>15%</a:t>
          </a:fld>
          <a:endParaRPr lang="en-IN" sz="1100"/>
        </a:p>
      </xdr:txBody>
    </xdr:sp>
    <xdr:clientData/>
  </xdr:twoCellAnchor>
  <xdr:twoCellAnchor>
    <xdr:from>
      <xdr:col>1</xdr:col>
      <xdr:colOff>352425</xdr:colOff>
      <xdr:row>46</xdr:row>
      <xdr:rowOff>110490</xdr:rowOff>
    </xdr:from>
    <xdr:to>
      <xdr:col>9</xdr:col>
      <xdr:colOff>47625</xdr:colOff>
      <xdr:row>61</xdr:row>
      <xdr:rowOff>110490</xdr:rowOff>
    </xdr:to>
    <xdr:graphicFrame macro="">
      <xdr:nvGraphicFramePr>
        <xdr:cNvPr id="21" name="Chart 20">
          <a:extLst>
            <a:ext uri="{FF2B5EF4-FFF2-40B4-BE49-F238E27FC236}">
              <a16:creationId xmlns:a16="http://schemas.microsoft.com/office/drawing/2014/main" id="{20FAC499-0B6C-4408-A0E1-4CF868343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361950</xdr:colOff>
      <xdr:row>67</xdr:row>
      <xdr:rowOff>38100</xdr:rowOff>
    </xdr:from>
    <xdr:to>
      <xdr:col>11</xdr:col>
      <xdr:colOff>491490</xdr:colOff>
      <xdr:row>82</xdr:row>
      <xdr:rowOff>38100</xdr:rowOff>
    </xdr:to>
    <xdr:graphicFrame macro="">
      <xdr:nvGraphicFramePr>
        <xdr:cNvPr id="22" name="Chart 21">
          <a:extLst>
            <a:ext uri="{FF2B5EF4-FFF2-40B4-BE49-F238E27FC236}">
              <a16:creationId xmlns:a16="http://schemas.microsoft.com/office/drawing/2014/main" id="{713D762E-FCFD-4700-94FE-F75CD34F4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381000</xdr:colOff>
      <xdr:row>88</xdr:row>
      <xdr:rowOff>66675</xdr:rowOff>
    </xdr:from>
    <xdr:to>
      <xdr:col>9</xdr:col>
      <xdr:colOff>99060</xdr:colOff>
      <xdr:row>106</xdr:row>
      <xdr:rowOff>45720</xdr:rowOff>
    </xdr:to>
    <xdr:graphicFrame macro="">
      <xdr:nvGraphicFramePr>
        <xdr:cNvPr id="23" name="Chart 22">
          <a:extLst>
            <a:ext uri="{FF2B5EF4-FFF2-40B4-BE49-F238E27FC236}">
              <a16:creationId xmlns:a16="http://schemas.microsoft.com/office/drawing/2014/main" id="{731B0B6E-6C08-44D0-948E-439F0AFC0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361950</xdr:colOff>
      <xdr:row>112</xdr:row>
      <xdr:rowOff>123825</xdr:rowOff>
    </xdr:from>
    <xdr:to>
      <xdr:col>9</xdr:col>
      <xdr:colOff>57150</xdr:colOff>
      <xdr:row>127</xdr:row>
      <xdr:rowOff>123825</xdr:rowOff>
    </xdr:to>
    <xdr:graphicFrame macro="">
      <xdr:nvGraphicFramePr>
        <xdr:cNvPr id="24" name="Chart 23">
          <a:extLst>
            <a:ext uri="{FF2B5EF4-FFF2-40B4-BE49-F238E27FC236}">
              <a16:creationId xmlns:a16="http://schemas.microsoft.com/office/drawing/2014/main" id="{C266ABDB-C16B-4B3D-B4E2-784EC7CE3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352425</xdr:colOff>
      <xdr:row>133</xdr:row>
      <xdr:rowOff>161925</xdr:rowOff>
    </xdr:from>
    <xdr:to>
      <xdr:col>10</xdr:col>
      <xdr:colOff>497205</xdr:colOff>
      <xdr:row>153</xdr:row>
      <xdr:rowOff>118110</xdr:rowOff>
    </xdr:to>
    <xdr:graphicFrame macro="">
      <xdr:nvGraphicFramePr>
        <xdr:cNvPr id="25" name="Chart 24">
          <a:extLst>
            <a:ext uri="{FF2B5EF4-FFF2-40B4-BE49-F238E27FC236}">
              <a16:creationId xmlns:a16="http://schemas.microsoft.com/office/drawing/2014/main" id="{E6E9CA97-267F-4D0C-810B-A180B30C9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236220</xdr:colOff>
      <xdr:row>27</xdr:row>
      <xdr:rowOff>9525</xdr:rowOff>
    </xdr:from>
    <xdr:to>
      <xdr:col>7</xdr:col>
      <xdr:colOff>525780</xdr:colOff>
      <xdr:row>34</xdr:row>
      <xdr:rowOff>114300</xdr:rowOff>
    </xdr:to>
    <mc:AlternateContent xmlns:mc="http://schemas.openxmlformats.org/markup-compatibility/2006" xmlns:tsle="http://schemas.microsoft.com/office/drawing/2012/timeslicer">
      <mc:Choice Requires="tsle">
        <xdr:graphicFrame macro="">
          <xdr:nvGraphicFramePr>
            <xdr:cNvPr id="33" name="Order Date">
              <a:extLst>
                <a:ext uri="{FF2B5EF4-FFF2-40B4-BE49-F238E27FC236}">
                  <a16:creationId xmlns:a16="http://schemas.microsoft.com/office/drawing/2014/main" id="{3A6677E8-4B72-868C-74BE-1A02B568623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455420" y="4947285"/>
              <a:ext cx="3337560" cy="13849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28575</xdr:colOff>
      <xdr:row>25</xdr:row>
      <xdr:rowOff>15240</xdr:rowOff>
    </xdr:from>
    <xdr:to>
      <xdr:col>13</xdr:col>
      <xdr:colOff>28575</xdr:colOff>
      <xdr:row>38</xdr:row>
      <xdr:rowOff>129540</xdr:rowOff>
    </xdr:to>
    <mc:AlternateContent xmlns:mc="http://schemas.openxmlformats.org/markup-compatibility/2006" xmlns:a14="http://schemas.microsoft.com/office/drawing/2010/main">
      <mc:Choice Requires="a14">
        <xdr:graphicFrame macro="">
          <xdr:nvGraphicFramePr>
            <xdr:cNvPr id="34" name="Region">
              <a:extLst>
                <a:ext uri="{FF2B5EF4-FFF2-40B4-BE49-F238E27FC236}">
                  <a16:creationId xmlns:a16="http://schemas.microsoft.com/office/drawing/2014/main" id="{9D6781BA-0D01-EA16-4050-1EC18915C6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24575" y="4587240"/>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200025</xdr:colOff>
      <xdr:row>25</xdr:row>
      <xdr:rowOff>20955</xdr:rowOff>
    </xdr:from>
    <xdr:to>
      <xdr:col>17</xdr:col>
      <xdr:colOff>200025</xdr:colOff>
      <xdr:row>38</xdr:row>
      <xdr:rowOff>135255</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3C5273CA-13DF-BC98-EF18-ABA63FE33F4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34425" y="4592955"/>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400050</xdr:colOff>
      <xdr:row>25</xdr:row>
      <xdr:rowOff>17145</xdr:rowOff>
    </xdr:from>
    <xdr:to>
      <xdr:col>21</xdr:col>
      <xdr:colOff>400050</xdr:colOff>
      <xdr:row>38</xdr:row>
      <xdr:rowOff>131445</xdr:rowOff>
    </xdr:to>
    <mc:AlternateContent xmlns:mc="http://schemas.openxmlformats.org/markup-compatibility/2006" xmlns:a14="http://schemas.microsoft.com/office/drawing/2010/main">
      <mc:Choice Requires="a14">
        <xdr:graphicFrame macro="">
          <xdr:nvGraphicFramePr>
            <xdr:cNvPr id="36" name="Product">
              <a:extLst>
                <a:ext uri="{FF2B5EF4-FFF2-40B4-BE49-F238E27FC236}">
                  <a16:creationId xmlns:a16="http://schemas.microsoft.com/office/drawing/2014/main" id="{14CD2802-496C-7F80-E361-9B5019E7EB2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372850" y="4589145"/>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476250</xdr:colOff>
      <xdr:row>25</xdr:row>
      <xdr:rowOff>22860</xdr:rowOff>
    </xdr:from>
    <xdr:to>
      <xdr:col>25</xdr:col>
      <xdr:colOff>476250</xdr:colOff>
      <xdr:row>38</xdr:row>
      <xdr:rowOff>137160</xdr:rowOff>
    </xdr:to>
    <mc:AlternateContent xmlns:mc="http://schemas.openxmlformats.org/markup-compatibility/2006" xmlns:a14="http://schemas.microsoft.com/office/drawing/2010/main">
      <mc:Choice Requires="a14">
        <xdr:graphicFrame macro="">
          <xdr:nvGraphicFramePr>
            <xdr:cNvPr id="37" name="Salesperson">
              <a:extLst>
                <a:ext uri="{FF2B5EF4-FFF2-40B4-BE49-F238E27FC236}">
                  <a16:creationId xmlns:a16="http://schemas.microsoft.com/office/drawing/2014/main" id="{338F3F2B-1096-D2CB-3962-53067627376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3887450" y="4594860"/>
              <a:ext cx="1828800" cy="249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ANSIR HUSSAIN" refreshedDate="46297.888068055552" createdVersion="8" refreshedVersion="8" minRefreshableVersion="3" recordCount="500" xr:uid="{CEECEFA7-01F6-442B-9957-03BA334D438B}">
  <cacheSource type="worksheet">
    <worksheetSource ref="A1:Q501" sheet="Raw_Data"/>
  </cacheSource>
  <cacheFields count="19">
    <cacheField name="Order ID" numFmtId="0">
      <sharedItems/>
    </cacheField>
    <cacheField name="Order Date" numFmtId="164">
      <sharedItems containsSemiMixedTypes="0" containsNonDate="0" containsDate="1" containsString="0" minDate="2026-01-01T00:00:00" maxDate="2026-10-01T00:00:00" count="232">
        <d v="2026-04-13T00:00:00"/>
        <d v="2026-04-10T00:00:00"/>
        <d v="2026-07-11T00:00:00"/>
        <d v="2026-02-28T00:00:00"/>
        <d v="2026-02-24T00:00:00"/>
        <d v="2026-03-30T00:00:00"/>
        <d v="2026-09-21T00:00:00"/>
        <d v="2026-04-16T00:00:00"/>
        <d v="2026-09-28T00:00:00"/>
        <d v="2026-02-22T00:00:00"/>
        <d v="2026-03-06T00:00:00"/>
        <d v="2026-03-22T00:00:00"/>
        <d v="2026-05-15T00:00:00"/>
        <d v="2026-06-21T00:00:00"/>
        <d v="2026-01-05T00:00:00"/>
        <d v="2026-06-28T00:00:00"/>
        <d v="2026-01-29T00:00:00"/>
        <d v="2026-05-14T00:00:00"/>
        <d v="2026-05-01T00:00:00"/>
        <d v="2026-04-23T00:00:00"/>
        <d v="2026-08-12T00:00:00"/>
        <d v="2026-07-22T00:00:00"/>
        <d v="2026-08-28T00:00:00"/>
        <d v="2026-05-27T00:00:00"/>
        <d v="2026-09-24T00:00:00"/>
        <d v="2026-05-24T00:00:00"/>
        <d v="2026-02-06T00:00:00"/>
        <d v="2026-02-23T00:00:00"/>
        <d v="2026-09-11T00:00:00"/>
        <d v="2026-07-27T00:00:00"/>
        <d v="2026-06-07T00:00:00"/>
        <d v="2026-04-07T00:00:00"/>
        <d v="2026-01-17T00:00:00"/>
        <d v="2026-04-05T00:00:00"/>
        <d v="2026-01-18T00:00:00"/>
        <d v="2026-05-31T00:00:00"/>
        <d v="2026-06-19T00:00:00"/>
        <d v="2026-02-05T00:00:00"/>
        <d v="2026-08-03T00:00:00"/>
        <d v="2026-06-29T00:00:00"/>
        <d v="2026-04-18T00:00:00"/>
        <d v="2026-02-27T00:00:00"/>
        <d v="2026-05-09T00:00:00"/>
        <d v="2026-08-25T00:00:00"/>
        <d v="2026-03-17T00:00:00"/>
        <d v="2026-04-04T00:00:00"/>
        <d v="2026-06-09T00:00:00"/>
        <d v="2026-09-10T00:00:00"/>
        <d v="2026-04-25T00:00:00"/>
        <d v="2026-08-05T00:00:00"/>
        <d v="2026-01-13T00:00:00"/>
        <d v="2026-07-06T00:00:00"/>
        <d v="2026-08-11T00:00:00"/>
        <d v="2026-06-12T00:00:00"/>
        <d v="2026-05-21T00:00:00"/>
        <d v="2026-05-25T00:00:00"/>
        <d v="2026-07-01T00:00:00"/>
        <d v="2026-05-28T00:00:00"/>
        <d v="2026-07-10T00:00:00"/>
        <d v="2026-02-16T00:00:00"/>
        <d v="2026-01-12T00:00:00"/>
        <d v="2026-07-05T00:00:00"/>
        <d v="2026-07-31T00:00:00"/>
        <d v="2026-08-30T00:00:00"/>
        <d v="2026-03-04T00:00:00"/>
        <d v="2026-01-06T00:00:00"/>
        <d v="2026-07-21T00:00:00"/>
        <d v="2026-02-03T00:00:00"/>
        <d v="2026-09-25T00:00:00"/>
        <d v="2026-07-26T00:00:00"/>
        <d v="2026-04-08T00:00:00"/>
        <d v="2026-01-30T00:00:00"/>
        <d v="2026-09-30T00:00:00"/>
        <d v="2026-02-12T00:00:00"/>
        <d v="2026-01-08T00:00:00"/>
        <d v="2026-03-02T00:00:00"/>
        <d v="2026-01-01T00:00:00"/>
        <d v="2026-03-14T00:00:00"/>
        <d v="2026-02-25T00:00:00"/>
        <d v="2026-01-07T00:00:00"/>
        <d v="2026-01-15T00:00:00"/>
        <d v="2026-05-06T00:00:00"/>
        <d v="2026-04-21T00:00:00"/>
        <d v="2026-05-30T00:00:00"/>
        <d v="2026-06-01T00:00:00"/>
        <d v="2026-08-08T00:00:00"/>
        <d v="2026-07-13T00:00:00"/>
        <d v="2026-05-19T00:00:00"/>
        <d v="2026-05-18T00:00:00"/>
        <d v="2026-09-22T00:00:00"/>
        <d v="2026-08-24T00:00:00"/>
        <d v="2026-03-01T00:00:00"/>
        <d v="2026-03-19T00:00:00"/>
        <d v="2026-01-14T00:00:00"/>
        <d v="2026-04-14T00:00:00"/>
        <d v="2026-06-08T00:00:00"/>
        <d v="2026-03-10T00:00:00"/>
        <d v="2026-08-06T00:00:00"/>
        <d v="2026-05-13T00:00:00"/>
        <d v="2026-02-20T00:00:00"/>
        <d v="2026-04-20T00:00:00"/>
        <d v="2026-05-17T00:00:00"/>
        <d v="2026-03-16T00:00:00"/>
        <d v="2026-07-30T00:00:00"/>
        <d v="2026-06-24T00:00:00"/>
        <d v="2026-03-28T00:00:00"/>
        <d v="2026-09-06T00:00:00"/>
        <d v="2026-03-29T00:00:00"/>
        <d v="2026-07-07T00:00:00"/>
        <d v="2026-04-29T00:00:00"/>
        <d v="2026-02-10T00:00:00"/>
        <d v="2026-01-27T00:00:00"/>
        <d v="2026-07-09T00:00:00"/>
        <d v="2026-08-15T00:00:00"/>
        <d v="2026-04-12T00:00:00"/>
        <d v="2026-07-17T00:00:00"/>
        <d v="2026-04-27T00:00:00"/>
        <d v="2026-04-06T00:00:00"/>
        <d v="2026-06-26T00:00:00"/>
        <d v="2026-05-20T00:00:00"/>
        <d v="2026-01-11T00:00:00"/>
        <d v="2026-08-31T00:00:00"/>
        <d v="2026-09-19T00:00:00"/>
        <d v="2026-08-14T00:00:00"/>
        <d v="2026-06-25T00:00:00"/>
        <d v="2026-06-17T00:00:00"/>
        <d v="2026-06-04T00:00:00"/>
        <d v="2026-04-09T00:00:00"/>
        <d v="2026-01-21T00:00:00"/>
        <d v="2026-07-18T00:00:00"/>
        <d v="2026-03-13T00:00:00"/>
        <d v="2026-02-01T00:00:00"/>
        <d v="2026-08-13T00:00:00"/>
        <d v="2026-06-15T00:00:00"/>
        <d v="2026-05-03T00:00:00"/>
        <d v="2026-06-27T00:00:00"/>
        <d v="2026-01-22T00:00:00"/>
        <d v="2026-08-01T00:00:00"/>
        <d v="2026-01-02T00:00:00"/>
        <d v="2026-01-28T00:00:00"/>
        <d v="2026-01-10T00:00:00"/>
        <d v="2026-04-17T00:00:00"/>
        <d v="2026-06-30T00:00:00"/>
        <d v="2026-07-03T00:00:00"/>
        <d v="2026-08-22T00:00:00"/>
        <d v="2026-06-10T00:00:00"/>
        <d v="2026-04-03T00:00:00"/>
        <d v="2026-08-27T00:00:00"/>
        <d v="2026-03-31T00:00:00"/>
        <d v="2026-01-19T00:00:00"/>
        <d v="2026-02-18T00:00:00"/>
        <d v="2026-09-20T00:00:00"/>
        <d v="2026-05-10T00:00:00"/>
        <d v="2026-08-19T00:00:00"/>
        <d v="2026-04-11T00:00:00"/>
        <d v="2026-08-04T00:00:00"/>
        <d v="2026-03-07T00:00:00"/>
        <d v="2026-01-25T00:00:00"/>
        <d v="2026-04-26T00:00:00"/>
        <d v="2026-07-02T00:00:00"/>
        <d v="2026-09-13T00:00:00"/>
        <d v="2026-08-20T00:00:00"/>
        <d v="2026-06-22T00:00:00"/>
        <d v="2026-04-19T00:00:00"/>
        <d v="2026-08-16T00:00:00"/>
        <d v="2026-05-29T00:00:00"/>
        <d v="2026-05-04T00:00:00"/>
        <d v="2026-06-23T00:00:00"/>
        <d v="2026-08-23T00:00:00"/>
        <d v="2026-01-03T00:00:00"/>
        <d v="2026-08-17T00:00:00"/>
        <d v="2026-04-22T00:00:00"/>
        <d v="2026-04-28T00:00:00"/>
        <d v="2026-02-04T00:00:00"/>
        <d v="2026-09-07T00:00:00"/>
        <d v="2026-05-22T00:00:00"/>
        <d v="2026-08-02T00:00:00"/>
        <d v="2026-02-11T00:00:00"/>
        <d v="2026-09-16T00:00:00"/>
        <d v="2026-01-16T00:00:00"/>
        <d v="2026-06-03T00:00:00"/>
        <d v="2026-06-05T00:00:00"/>
        <d v="2026-05-23T00:00:00"/>
        <d v="2026-09-09T00:00:00"/>
        <d v="2026-02-15T00:00:00"/>
        <d v="2026-03-25T00:00:00"/>
        <d v="2026-07-20T00:00:00"/>
        <d v="2026-04-30T00:00:00"/>
        <d v="2026-03-03T00:00:00"/>
        <d v="2026-06-06T00:00:00"/>
        <d v="2026-06-02T00:00:00"/>
        <d v="2026-05-26T00:00:00"/>
        <d v="2026-09-23T00:00:00"/>
        <d v="2026-07-14T00:00:00"/>
        <d v="2026-07-12T00:00:00"/>
        <d v="2026-03-05T00:00:00"/>
        <d v="2026-03-18T00:00:00"/>
        <d v="2026-06-11T00:00:00"/>
        <d v="2026-04-02T00:00:00"/>
        <d v="2026-03-11T00:00:00"/>
        <d v="2026-07-23T00:00:00"/>
        <d v="2026-08-21T00:00:00"/>
        <d v="2026-09-05T00:00:00"/>
        <d v="2026-01-24T00:00:00"/>
        <d v="2026-08-18T00:00:00"/>
        <d v="2026-07-28T00:00:00"/>
        <d v="2026-09-02T00:00:00"/>
        <d v="2026-02-08T00:00:00"/>
        <d v="2026-04-01T00:00:00"/>
        <d v="2026-08-29T00:00:00"/>
        <d v="2026-07-25T00:00:00"/>
        <d v="2026-04-24T00:00:00"/>
        <d v="2026-02-09T00:00:00"/>
        <d v="2026-08-09T00:00:00"/>
        <d v="2026-01-04T00:00:00"/>
        <d v="2026-02-07T00:00:00"/>
        <d v="2026-09-27T00:00:00"/>
        <d v="2026-05-08T00:00:00"/>
        <d v="2026-08-07T00:00:00"/>
        <d v="2026-03-15T00:00:00"/>
        <d v="2026-01-23T00:00:00"/>
        <d v="2026-06-14T00:00:00"/>
        <d v="2026-05-07T00:00:00"/>
        <d v="2026-03-12T00:00:00"/>
        <d v="2026-02-14T00:00:00"/>
        <d v="2026-05-16T00:00:00"/>
        <d v="2026-08-10T00:00:00"/>
        <d v="2026-09-14T00:00:00"/>
        <d v="2026-06-20T00:00:00"/>
        <d v="2026-02-19T00:00:00"/>
        <d v="2026-03-27T00:00:00"/>
        <d v="2026-01-31T00:00:00"/>
      </sharedItems>
      <fieldGroup par="18"/>
    </cacheField>
    <cacheField name="Customer ID" numFmtId="0">
      <sharedItems/>
    </cacheField>
    <cacheField name="City" numFmtId="0">
      <sharedItems/>
    </cacheField>
    <cacheField name="Region" numFmtId="0">
      <sharedItems count="5">
        <s v="Central"/>
        <s v="North"/>
        <s v="South"/>
        <s v="East"/>
        <s v="West"/>
      </sharedItems>
    </cacheField>
    <cacheField name="Product" numFmtId="0">
      <sharedItems count="11">
        <s v="Desk"/>
        <s v="Keyboard"/>
        <s v="Webcam"/>
        <s v="Printer"/>
        <s v="Smartphone"/>
        <s v="Tablet"/>
        <s v="Monitor"/>
        <s v="Office Chair"/>
        <s v="Headphones"/>
        <s v="Laptop"/>
        <s v=" Laptop "/>
      </sharedItems>
    </cacheField>
    <cacheField name="Category" numFmtId="0">
      <sharedItems count="4">
        <s v="Furniture"/>
        <s v="Accessories"/>
        <s v="Office Equipment"/>
        <s v="Electronics"/>
      </sharedItems>
    </cacheField>
    <cacheField name="Salesperson" numFmtId="0">
      <sharedItems count="9">
        <s v="Kabir"/>
        <s v="Diya"/>
        <s v="Rohan"/>
        <s v="Ananya"/>
        <s v="Meera"/>
        <s v="Arjun"/>
        <s v="Aarav"/>
        <s v="Sara"/>
        <s v="Rohan "/>
      </sharedItems>
    </cacheField>
    <cacheField name="Quantity" numFmtId="0">
      <sharedItems containsSemiMixedTypes="0" containsString="0" containsNumber="1" containsInteger="1" minValue="1" maxValue="7"/>
    </cacheField>
    <cacheField name="Unit Price" numFmtId="0">
      <sharedItems containsSemiMixedTypes="0" containsString="0" containsNumber="1" minValue="823.8" maxValue="84909.62"/>
    </cacheField>
    <cacheField name="Discount %" numFmtId="0">
      <sharedItems containsString="0" containsBlank="1" containsNumber="1" minValue="0" maxValue="0.15"/>
    </cacheField>
    <cacheField name="Sales Amount" numFmtId="0">
      <sharedItems containsSemiMixedTypes="0" containsString="0" containsNumber="1" minValue="819.67" maxValue="553244.16000000003" count="500">
        <n v="137002.81"/>
        <n v="87841.8"/>
        <n v="6447.5"/>
        <n v="7586.64"/>
        <n v="20277.21"/>
        <n v="68541.66"/>
        <n v="149843.88"/>
        <n v="17665.47"/>
        <n v="83125.08"/>
        <n v="36877.75"/>
        <n v="12197.83"/>
        <n v="102374.76"/>
        <n v="16438.46"/>
        <n v="32067.53"/>
        <n v="126745.08"/>
        <n v="62136.13"/>
        <n v="53599.16"/>
        <n v="32518.92"/>
        <n v="75894.080000000002"/>
        <n v="14687.87"/>
        <n v="241992.42"/>
        <n v="103706.71"/>
        <n v="352111.09"/>
        <n v="78082.7"/>
        <n v="7964.23"/>
        <n v="58010.34"/>
        <n v="18399.259999999998"/>
        <n v="30676"/>
        <n v="190839.43"/>
        <n v="109620.2"/>
        <n v="40888.839999999997"/>
        <n v="217825.23"/>
        <n v="103790.92"/>
        <n v="250846.17"/>
        <n v="18042.68"/>
        <n v="240069.25"/>
        <n v="17023.18"/>
        <n v="8061.9"/>
        <n v="7966.66"/>
        <n v="44385.89"/>
        <n v="33310.74"/>
        <n v="50654.7"/>
        <n v="32254.55"/>
        <n v="244890.12"/>
        <n v="8577.4"/>
        <n v="5659.42"/>
        <n v="553244.16000000003"/>
        <n v="33219.69"/>
        <n v="5568.43"/>
        <n v="4452.7"/>
        <n v="332875.5"/>
        <n v="14088.73"/>
        <n v="104049.44"/>
        <n v="46692.82"/>
        <n v="35044"/>
        <n v="86180.99"/>
        <n v="479156.08"/>
        <n v="63275.42"/>
        <n v="212127.35"/>
        <n v="129023.6"/>
        <n v="41434.959999999999"/>
        <n v="57089.34"/>
        <n v="13883.89"/>
        <n v="87048.08"/>
        <n v="64428.07"/>
        <n v="8994.65"/>
        <n v="48315.65"/>
        <n v="4174.6899999999996"/>
        <n v="433338.2"/>
        <n v="61139.839999999997"/>
        <n v="120261.82"/>
        <n v="70062.080000000002"/>
        <n v="819.67"/>
        <n v="27502.44"/>
        <n v="282088.86"/>
        <n v="113554.5"/>
        <n v="14185.17"/>
        <n v="184503.53"/>
        <n v="10455.959999999999"/>
        <n v="141802.47"/>
        <n v="39735.4"/>
        <n v="11701.47"/>
        <n v="189303.66"/>
        <n v="19463.88"/>
        <n v="65721.600000000006"/>
        <n v="87262.8"/>
        <n v="105284.94"/>
        <n v="8436.5300000000007"/>
        <n v="45369.83"/>
        <n v="95889.64"/>
        <n v="21686.28"/>
        <n v="104016.07"/>
        <n v="23044.98"/>
        <n v="69405.03"/>
        <n v="66597.41"/>
        <n v="23776.83"/>
        <n v="7543.44"/>
        <n v="76540.539999999994"/>
        <n v="25389.9"/>
        <n v="13988.82"/>
        <n v="62235.38"/>
        <n v="59184.42"/>
        <n v="3869.64"/>
        <n v="121933.8"/>
        <n v="9229.84"/>
        <n v="153178.16"/>
        <n v="41923.620000000003"/>
        <n v="441150.63"/>
        <n v="124045.51"/>
        <n v="24542.400000000001"/>
        <n v="44488.93"/>
        <n v="26468.76"/>
        <n v="17623.66"/>
        <n v="6786.72"/>
        <n v="70250.31"/>
        <n v="27697.279999999999"/>
        <n v="19416.259999999998"/>
        <n v="109112.28"/>
        <n v="76521.08"/>
        <n v="286652.38"/>
        <n v="17546.099999999999"/>
        <n v="250894.75"/>
        <n v="41722.79"/>
        <n v="42167.92"/>
        <n v="55432.21"/>
        <n v="1472.4"/>
        <n v="86197.86"/>
        <n v="87551.9"/>
        <n v="302656"/>
        <n v="42880.37"/>
        <n v="174464.07"/>
        <n v="21675.759999999998"/>
        <n v="77261.5"/>
        <n v="40573.46"/>
        <n v="53269.919999999998"/>
        <n v="69942.509999999995"/>
        <n v="61488.03"/>
        <n v="126698.74"/>
        <n v="324273.25"/>
        <n v="43544.6"/>
        <n v="56183.49"/>
        <n v="144435.31"/>
        <n v="110722.92"/>
        <n v="41779.120000000003"/>
        <n v="21244.76"/>
        <n v="44954.720000000001"/>
        <n v="399216.36"/>
        <n v="27574.07"/>
        <n v="23225.62"/>
        <n v="24438.560000000001"/>
        <n v="49521.68"/>
        <n v="41414.550000000003"/>
        <n v="93406.8"/>
        <n v="1899.04"/>
        <n v="21703.94"/>
        <n v="11171.26"/>
        <n v="14183.37"/>
        <n v="155032.95999999999"/>
        <n v="78768"/>
        <n v="9431.98"/>
        <n v="56441.74"/>
        <n v="51293.63"/>
        <n v="89945.24"/>
        <n v="27459.11"/>
        <n v="176111.46"/>
        <n v="42110.71"/>
        <n v="4922.16"/>
        <n v="164537.22"/>
        <n v="29497.68"/>
        <n v="133491.68"/>
        <n v="62539.91"/>
        <n v="22325.54"/>
        <n v="18801.77"/>
        <n v="12228.16"/>
        <n v="134234.79999999999"/>
        <n v="8796.4500000000007"/>
        <n v="7230.86"/>
        <n v="86383.16"/>
        <n v="143871.88"/>
        <n v="100288.2"/>
        <n v="12973.54"/>
        <n v="13248.81"/>
        <n v="189319.45"/>
        <n v="13868.27"/>
        <n v="49936.22"/>
        <n v="53845.62"/>
        <n v="21820.55"/>
        <n v="24638.6"/>
        <n v="29689.439999999999"/>
        <n v="65559.83"/>
        <n v="17879.63"/>
        <n v="180945.76"/>
        <n v="21942.1"/>
        <n v="22213.94"/>
        <n v="202084.39"/>
        <n v="26827.42"/>
        <n v="19960.04"/>
        <n v="2736.68"/>
        <n v="8226.6"/>
        <n v="123307.85"/>
        <n v="109167.13"/>
        <n v="192796.02"/>
        <n v="38802.449999999997"/>
        <n v="14074.17"/>
        <n v="25156.79"/>
        <n v="3601.28"/>
        <n v="26898.080000000002"/>
        <n v="45414.05"/>
        <n v="129379.7"/>
        <n v="54501.77"/>
        <n v="7954.43"/>
        <n v="12129.05"/>
        <n v="35759.440000000002"/>
        <n v="4343.1400000000003"/>
        <n v="70488.960000000006"/>
        <n v="53705.59"/>
        <n v="29842.2"/>
        <n v="12198.11"/>
        <n v="172703.79"/>
        <n v="9150.2000000000007"/>
        <n v="29427.03"/>
        <n v="193223"/>
        <n v="17496.669999999998"/>
        <n v="211295.64"/>
        <n v="27508.51"/>
        <n v="51362.95"/>
        <n v="3683.76"/>
        <n v="94469.55"/>
        <n v="20182.939999999999"/>
        <n v="142226.70000000001"/>
        <n v="20826.54"/>
        <n v="25616.880000000001"/>
        <n v="61281.86"/>
        <n v="39939.1"/>
        <n v="5759.8"/>
        <n v="88712.61"/>
        <n v="133521.67000000001"/>
        <n v="491461.74"/>
        <n v="6557"/>
        <n v="21408.23"/>
        <n v="21615.599999999999"/>
        <n v="92711.22"/>
        <n v="64514.35"/>
        <n v="11690.81"/>
        <n v="84729.59"/>
        <n v="5856.06"/>
        <n v="18292.3"/>
        <n v="10262.200000000001"/>
        <n v="18869.939999999999"/>
        <n v="57255.9"/>
        <n v="46195.71"/>
        <n v="3897.22"/>
        <n v="7830.81"/>
        <n v="60267.44"/>
        <n v="40133.019999999997"/>
        <n v="8131.13"/>
        <n v="44617.18"/>
        <n v="8750.5400000000009"/>
        <n v="39713.64"/>
        <n v="50113.3"/>
        <n v="27982.84"/>
        <n v="115142.3"/>
        <n v="61631.93"/>
        <n v="118452.85"/>
        <n v="15858.07"/>
        <n v="47883.38"/>
        <n v="104227.78"/>
        <n v="211735.28"/>
        <n v="21995.49"/>
        <n v="15791.25"/>
        <n v="17455.07"/>
        <n v="78219.92"/>
        <n v="47346.33"/>
        <n v="194176.08"/>
        <n v="235029.7"/>
        <n v="73609.149999999994"/>
        <n v="14489.86"/>
        <n v="42361.5"/>
        <n v="10566.32"/>
        <n v="39255.199999999997"/>
        <n v="49188.9"/>
        <n v="52084.26"/>
        <n v="28604.18"/>
        <n v="18075.89"/>
        <n v="9842.9"/>
        <n v="3492.66"/>
        <n v="105596.67"/>
        <n v="279653.49"/>
        <n v="94911.06"/>
        <n v="334243.67"/>
        <n v="60803.38"/>
        <n v="12485.68"/>
        <n v="56822.39"/>
        <n v="8277.52"/>
        <n v="68111.199999999997"/>
        <n v="140656.26"/>
        <n v="13511.74"/>
        <n v="40363.870000000003"/>
        <n v="34233.49"/>
        <n v="17598.669999999998"/>
        <n v="115098.4"/>
        <n v="11777.1"/>
        <n v="88668"/>
        <n v="118769.76"/>
        <n v="68233.83"/>
        <n v="4697"/>
        <n v="270969.05"/>
        <n v="31928.46"/>
        <n v="87019.16"/>
        <n v="67279.55"/>
        <n v="3070.93"/>
        <n v="5837.94"/>
        <n v="75220.87"/>
        <n v="105287.85"/>
        <n v="5971"/>
        <n v="56718.32"/>
        <n v="34021.599999999999"/>
        <n v="36712.620000000003"/>
        <n v="279543.84000000003"/>
        <n v="398434.5"/>
        <n v="31207.54"/>
        <n v="15851.16"/>
        <n v="128184.8"/>
        <n v="172317.04"/>
        <n v="9421.65"/>
        <n v="150722.94"/>
        <n v="35547.31"/>
        <n v="3806.27"/>
        <n v="20846.39"/>
        <n v="118273.8"/>
        <n v="338629.9"/>
        <n v="101975.17"/>
        <n v="76804.63"/>
        <n v="46579.4"/>
        <n v="132065"/>
        <n v="9252.0499999999993"/>
        <n v="55694.59"/>
        <n v="111946.52"/>
        <n v="145636.47"/>
        <n v="15907.73"/>
        <n v="8744.5400000000009"/>
        <n v="107937.13"/>
        <n v="8953.1200000000008"/>
        <n v="132971.45000000001"/>
        <n v="26300.35"/>
        <n v="9242.1"/>
        <n v="35331.339999999997"/>
        <n v="36675.800000000003"/>
        <n v="64869.48"/>
        <n v="76042.289999999994"/>
        <n v="29733.48"/>
        <n v="62199.51"/>
        <n v="72578.080000000002"/>
        <n v="64720.22"/>
        <n v="291554.94"/>
        <n v="3707.1"/>
        <n v="30762.2"/>
        <n v="43617.65"/>
        <n v="19581.169999999998"/>
        <n v="46521.48"/>
        <n v="2824.23"/>
        <n v="38879.1"/>
        <n v="94582.04"/>
        <n v="167772.43"/>
        <n v="61348.89"/>
        <n v="41739.99"/>
        <n v="228351.69"/>
        <n v="35519.26"/>
        <n v="72044.33"/>
        <n v="12831.48"/>
        <n v="28283.51"/>
        <n v="30663.58"/>
        <n v="122386.84"/>
        <n v="30672.27"/>
        <n v="9252.98"/>
        <n v="324970.56"/>
        <n v="42791.839999999997"/>
        <n v="53309.82"/>
        <n v="42526.96"/>
        <n v="23447.17"/>
        <n v="54144.45"/>
        <n v="69723.240000000005"/>
        <n v="5696.24"/>
        <n v="12058.04"/>
        <n v="62901.86"/>
        <n v="22120.26"/>
        <n v="29050.2"/>
        <n v="79044.7"/>
        <n v="219219.15"/>
        <n v="23766.36"/>
        <n v="45708.44"/>
        <n v="237894.8"/>
        <n v="39435.769999999997"/>
        <n v="41702"/>
        <n v="8703.85"/>
        <n v="47246.080000000002"/>
        <n v="11770.87"/>
        <n v="306955.02"/>
        <n v="35830.080000000002"/>
        <n v="157680.15"/>
        <n v="43185.55"/>
        <n v="26633.65"/>
        <n v="91676.69"/>
        <n v="17211.66"/>
        <n v="411559.05"/>
        <n v="6000.28"/>
        <n v="50856.9"/>
        <n v="41456.160000000003"/>
        <n v="102511.14"/>
        <n v="24356.58"/>
        <n v="23659.41"/>
        <n v="2994.77"/>
        <n v="71714.33"/>
        <n v="46234.32"/>
        <n v="277577.8"/>
        <n v="14447.78"/>
        <n v="25634.47"/>
        <n v="68860.56"/>
        <n v="14310.58"/>
        <n v="92733.98"/>
        <n v="6265.38"/>
        <n v="140753.76"/>
        <n v="44863.29"/>
        <n v="50035.68"/>
        <n v="17240.22"/>
        <n v="18036.13"/>
        <n v="89197.43"/>
        <n v="30678.720000000001"/>
        <n v="31985.040000000001"/>
        <n v="23927.49"/>
        <n v="8772.31"/>
        <n v="16806.099999999999"/>
        <n v="194764.86"/>
        <n v="47085.53"/>
        <n v="23824.29"/>
        <n v="19138.560000000001"/>
        <n v="211743.13"/>
        <n v="29269.94"/>
        <n v="208548.83"/>
        <n v="5055.26"/>
        <n v="303680.65999999997"/>
        <n v="38944.36"/>
        <n v="6632.73"/>
        <n v="34563.65"/>
        <n v="7053.53"/>
        <n v="4344.6400000000003"/>
        <n v="37351.06"/>
        <n v="77108.039999999994"/>
        <n v="25757.62"/>
        <n v="179035.98"/>
        <n v="163844.92000000001"/>
        <n v="55891.92"/>
        <n v="10001.700000000001"/>
        <n v="324140.75"/>
        <n v="12036.48"/>
        <n v="225983.23"/>
        <n v="26419.06"/>
        <n v="34214.400000000001"/>
        <n v="75854.7"/>
        <n v="166837.72"/>
        <n v="35908.71"/>
        <n v="33848.28"/>
        <n v="377556.8"/>
        <n v="30791.4"/>
        <n v="102452.05"/>
        <n v="43431.43"/>
        <n v="57124.53"/>
        <n v="38636.57"/>
        <n v="318503.69"/>
        <n v="17658.080000000002"/>
        <n v="78178.320000000007"/>
        <n v="44440.160000000003"/>
        <n v="78517.67"/>
        <n v="49780.23"/>
        <n v="4645.83"/>
        <n v="140209.98000000001"/>
        <n v="80394.399999999994"/>
        <n v="7095.96"/>
        <n v="2676.7"/>
        <n v="14700.37"/>
        <n v="68107.56"/>
        <n v="61509.48"/>
        <n v="86858.11"/>
        <n v="470968.08"/>
        <n v="128838.76"/>
        <n v="248693.05"/>
        <n v="16794.16"/>
        <n v="36522.33"/>
        <n v="24397.39"/>
        <n v="4248.24"/>
        <n v="54905.120000000003"/>
        <n v="36482.160000000003"/>
        <n v="30801"/>
        <n v="42617.49"/>
        <n v="191186.95"/>
        <n v="5338.39"/>
        <n v="38071.85"/>
        <n v="10048.549999999999"/>
        <n v="17353.66"/>
        <n v="215557.93"/>
      </sharedItems>
    </cacheField>
    <cacheField name="Cost" numFmtId="0">
      <sharedItems containsSemiMixedTypes="0" containsString="0" containsNumber="1" minValue="645.53" maxValue="484881.28"/>
    </cacheField>
    <cacheField name="Profit" numFmtId="0">
      <sharedItems containsSemiMixedTypes="0" containsString="0" containsNumber="1" minValue="174.14" maxValue="83463.06"/>
    </cacheField>
    <cacheField name="Gross sales" numFmtId="0">
      <sharedItems containsSemiMixedTypes="0" containsString="0" containsNumber="1" minValue="910.74" maxValue="582362.27"/>
    </cacheField>
    <cacheField name="Discount amount" numFmtId="0">
      <sharedItems containsSemiMixedTypes="0" containsString="0" containsNumber="1" minValue="0" maxValue="76471.447499999995"/>
    </cacheField>
    <cacheField name="Profit margin" numFmtId="0">
      <sharedItems containsSemiMixedTypes="0" containsString="0" containsNumber="1" minValue="6.0021244596825927" maxValue="29.553216402450598"/>
    </cacheField>
    <cacheField name="Days (Order Date)" numFmtId="0" databaseField="0">
      <fieldGroup base="1">
        <rangePr groupBy="days" startDate="2026-01-01T00:00:00" endDate="2026-10-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0-2026"/>
        </groupItems>
      </fieldGroup>
    </cacheField>
    <cacheField name="Months (Order Date)" numFmtId="0" databaseField="0">
      <fieldGroup base="1">
        <rangePr groupBy="months" startDate="2026-01-01T00:00:00" endDate="2026-10-01T00:00:00"/>
        <groupItems count="14">
          <s v="&lt;01-01-2026"/>
          <s v="Jan"/>
          <s v="Feb"/>
          <s v="Mar"/>
          <s v="Apr"/>
          <s v="May"/>
          <s v="Jun"/>
          <s v="Jul"/>
          <s v="Aug"/>
          <s v="Sep"/>
          <s v="Oct"/>
          <s v="Nov"/>
          <s v="Dec"/>
          <s v="&gt;01-10-2026"/>
        </groupItems>
      </fieldGroup>
    </cacheField>
  </cacheFields>
  <extLst>
    <ext xmlns:x14="http://schemas.microsoft.com/office/spreadsheetml/2009/9/main" uri="{725AE2AE-9491-48be-B2B4-4EB974FC3084}">
      <x14:pivotCacheDefinition pivotCacheId="621852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01"/>
    <x v="0"/>
    <s v="CUST1088"/>
    <s v="Indore"/>
    <x v="0"/>
    <x v="0"/>
    <x v="0"/>
    <x v="0"/>
    <n v="7"/>
    <n v="19571.830000000002"/>
    <n v="0"/>
    <x v="0"/>
    <n v="113438.74"/>
    <n v="23564.07"/>
    <n v="137002.81"/>
    <n v="0"/>
    <n v="17.199698312757235"/>
  </r>
  <r>
    <s v="ORD10002"/>
    <x v="1"/>
    <s v="CUST1038"/>
    <s v="Jaipur"/>
    <x v="1"/>
    <x v="0"/>
    <x v="0"/>
    <x v="1"/>
    <n v="5"/>
    <n v="20668.66"/>
    <n v="0.15"/>
    <x v="1"/>
    <n v="65012.32"/>
    <n v="22829.48"/>
    <n v="103343.3"/>
    <n v="15501.494999999999"/>
    <n v="25.989312605160642"/>
  </r>
  <r>
    <s v="ORD10003"/>
    <x v="2"/>
    <s v="CUST1049"/>
    <s v="Chennai"/>
    <x v="2"/>
    <x v="1"/>
    <x v="1"/>
    <x v="2"/>
    <n v="2"/>
    <n v="3393.42"/>
    <n v="0.05"/>
    <x v="2"/>
    <n v="5118.33"/>
    <n v="1329.17"/>
    <n v="6786.84"/>
    <n v="339.34200000000004"/>
    <n v="20.615277239240019"/>
  </r>
  <r>
    <s v="ORD10004"/>
    <x v="3"/>
    <s v="CUST1051"/>
    <s v="Patna"/>
    <x v="3"/>
    <x v="2"/>
    <x v="1"/>
    <x v="3"/>
    <n v="4"/>
    <n v="1896.66"/>
    <n v="0"/>
    <x v="3"/>
    <n v="6109.31"/>
    <n v="1477.33"/>
    <n v="7586.64"/>
    <n v="0"/>
    <n v="19.472783735619455"/>
  </r>
  <r>
    <s v="ORD10005"/>
    <x v="4"/>
    <s v="CUST1018"/>
    <s v="Indore"/>
    <x v="0"/>
    <x v="3"/>
    <x v="2"/>
    <x v="3"/>
    <n v="3"/>
    <n v="7114.81"/>
    <n v="0.05"/>
    <x v="4"/>
    <n v="17153.3"/>
    <n v="3123.91"/>
    <n v="21344.43"/>
    <n v="1067.2215000000001"/>
    <n v="15.406014930061875"/>
  </r>
  <r>
    <s v="ORD10006"/>
    <x v="5"/>
    <s v="CUST1111"/>
    <s v="Chennai"/>
    <x v="2"/>
    <x v="4"/>
    <x v="3"/>
    <x v="3"/>
    <n v="2"/>
    <n v="34270.83"/>
    <n v="0"/>
    <x v="5"/>
    <n v="60208.3"/>
    <n v="8333.36"/>
    <n v="68541.66"/>
    <n v="0"/>
    <n v="12.158094799571531"/>
  </r>
  <r>
    <s v="ORD10007"/>
    <x v="6"/>
    <s v="CUST1134"/>
    <s v="Patna"/>
    <x v="3"/>
    <x v="5"/>
    <x v="3"/>
    <x v="4"/>
    <n v="4"/>
    <n v="37460.97"/>
    <n v="0"/>
    <x v="6"/>
    <n v="129168.04"/>
    <n v="20675.84"/>
    <n v="149843.88"/>
    <n v="0"/>
    <n v="13.798254556675921"/>
  </r>
  <r>
    <s v="ORD10008"/>
    <x v="7"/>
    <s v="CUST1014"/>
    <s v="Indore"/>
    <x v="0"/>
    <x v="6"/>
    <x v="3"/>
    <x v="5"/>
    <n v="2"/>
    <n v="9814.15"/>
    <n v="0.1"/>
    <x v="7"/>
    <n v="14239.25"/>
    <n v="3426.22"/>
    <n v="19628.3"/>
    <n v="1962.83"/>
    <n v="19.395011850802721"/>
  </r>
  <r>
    <s v="ORD10009"/>
    <x v="8"/>
    <s v="CUST1082"/>
    <s v="Jaipur"/>
    <x v="1"/>
    <x v="7"/>
    <x v="0"/>
    <x v="5"/>
    <n v="6"/>
    <n v="13854.18"/>
    <n v="0"/>
    <x v="8"/>
    <n v="64285.51"/>
    <n v="18839.57"/>
    <n v="83125.08"/>
    <n v="0"/>
    <n v="22.66412254881439"/>
  </r>
  <r>
    <s v="ORD10010"/>
    <x v="9"/>
    <s v="CUST1015"/>
    <s v="Jaipur"/>
    <x v="1"/>
    <x v="2"/>
    <x v="1"/>
    <x v="0"/>
    <n v="4"/>
    <n v="9704.67"/>
    <n v="0.05"/>
    <x v="9"/>
    <n v="31091.23"/>
    <n v="5786.52"/>
    <n v="38818.68"/>
    <n v="1940.9340000000002"/>
    <n v="15.691087444326188"/>
  </r>
  <r>
    <s v="ORD10011"/>
    <x v="10"/>
    <s v="CUST1139"/>
    <s v="Lucknow"/>
    <x v="1"/>
    <x v="7"/>
    <x v="0"/>
    <x v="2"/>
    <n v="1"/>
    <n v="12197.83"/>
    <n v="0"/>
    <x v="10"/>
    <n v="9994.14"/>
    <n v="2203.69"/>
    <n v="12197.83"/>
    <n v="0"/>
    <n v="18.066246209366749"/>
  </r>
  <r>
    <s v="ORD10012"/>
    <x v="11"/>
    <s v="CUST1041"/>
    <s v="Jaipur"/>
    <x v="1"/>
    <x v="5"/>
    <x v="3"/>
    <x v="3"/>
    <n v="3"/>
    <n v="34124.92"/>
    <n v="0"/>
    <x v="11"/>
    <n v="91905.72"/>
    <n v="10469.040000000001"/>
    <n v="102374.76"/>
    <n v="0"/>
    <n v="10.226192471660008"/>
  </r>
  <r>
    <s v="ORD10013"/>
    <x v="12"/>
    <s v="CUST1037"/>
    <s v="Lucknow"/>
    <x v="1"/>
    <x v="0"/>
    <x v="0"/>
    <x v="2"/>
    <n v="1"/>
    <n v="16438.46"/>
    <n v="0"/>
    <x v="12"/>
    <n v="13194.86"/>
    <n v="3243.6"/>
    <n v="16438.46"/>
    <n v="0"/>
    <n v="19.731775360952302"/>
  </r>
  <r>
    <s v="ORD10014"/>
    <x v="13"/>
    <s v="CUST1131"/>
    <s v="Jaipur"/>
    <x v="1"/>
    <x v="6"/>
    <x v="3"/>
    <x v="6"/>
    <n v="1"/>
    <n v="32067.53"/>
    <n v="0"/>
    <x v="13"/>
    <n v="25744.74"/>
    <n v="6322.79"/>
    <n v="32067.53"/>
    <n v="0"/>
    <n v="19.717109487384903"/>
  </r>
  <r>
    <s v="ORD10015"/>
    <x v="14"/>
    <s v="CUST1090"/>
    <s v="Bengaluru"/>
    <x v="2"/>
    <x v="7"/>
    <x v="0"/>
    <x v="1"/>
    <n v="7"/>
    <n v="18106.439999999999"/>
    <n v="0"/>
    <x v="14"/>
    <n v="93122.2"/>
    <n v="33622.879999999997"/>
    <n v="126745.07999999999"/>
    <n v="0"/>
    <n v="26.527956745934432"/>
  </r>
  <r>
    <s v="ORD10016"/>
    <x v="15"/>
    <s v="CUST1143"/>
    <s v="Patna"/>
    <x v="3"/>
    <x v="7"/>
    <x v="0"/>
    <x v="2"/>
    <n v="5"/>
    <n v="13081.29"/>
    <n v="0.05"/>
    <x v="15"/>
    <n v="44184.51"/>
    <n v="17951.62"/>
    <n v="65406.450000000004"/>
    <n v="3270.3225000000002"/>
    <n v="28.890791879056515"/>
  </r>
  <r>
    <s v="ORD10017"/>
    <x v="16"/>
    <s v="CUST1062"/>
    <s v="Indore"/>
    <x v="0"/>
    <x v="7"/>
    <x v="0"/>
    <x v="6"/>
    <n v="6"/>
    <n v="9925.77"/>
    <n v="0.1"/>
    <x v="16"/>
    <n v="39935.53"/>
    <n v="13663.63"/>
    <n v="59554.62"/>
    <n v="5955.4620000000004"/>
    <n v="25.492246520281288"/>
  </r>
  <r>
    <s v="ORD10018"/>
    <x v="17"/>
    <s v="CUST1129"/>
    <s v="Mumbai"/>
    <x v="2"/>
    <x v="8"/>
    <x v="1"/>
    <x v="6"/>
    <n v="3"/>
    <n v="10839.64"/>
    <n v="0"/>
    <x v="17"/>
    <n v="28100.53"/>
    <n v="4418.3900000000003"/>
    <n v="32518.92"/>
    <n v="0"/>
    <n v="13.587136350161691"/>
  </r>
  <r>
    <s v="ORD10019"/>
    <x v="18"/>
    <s v="CUST1051"/>
    <s v="Indore"/>
    <x v="0"/>
    <x v="3"/>
    <x v="2"/>
    <x v="1"/>
    <n v="6"/>
    <n v="13314.75"/>
    <n v="0.05"/>
    <x v="18"/>
    <n v="64503.19"/>
    <n v="11390.89"/>
    <n v="79888.5"/>
    <n v="3994.4250000000002"/>
    <n v="15.008930867862155"/>
  </r>
  <r>
    <s v="ORD10020"/>
    <x v="13"/>
    <s v="CUST1052"/>
    <s v="Jaipur"/>
    <x v="1"/>
    <x v="6"/>
    <x v="3"/>
    <x v="3"/>
    <n v="1"/>
    <n v="14687.87"/>
    <n v="0"/>
    <x v="19"/>
    <n v="13123.77"/>
    <n v="1564.1"/>
    <n v="14687.87"/>
    <n v="0"/>
    <n v="10.648923227125511"/>
  </r>
  <r>
    <s v="ORD10021"/>
    <x v="19"/>
    <s v="CUST1054"/>
    <s v="Bhopal"/>
    <x v="0"/>
    <x v="9"/>
    <x v="3"/>
    <x v="5"/>
    <n v="3"/>
    <n v="84909.62"/>
    <n v="0.05"/>
    <x v="20"/>
    <n v="210468.58"/>
    <n v="31523.84"/>
    <n v="254728.86"/>
    <n v="12736.442999999999"/>
    <n v="13.026788194440138"/>
  </r>
  <r>
    <s v="ORD10022"/>
    <x v="20"/>
    <s v="CUST1068"/>
    <s v="Mumbai"/>
    <x v="4"/>
    <x v="9"/>
    <x v="3"/>
    <x v="5"/>
    <n v="2"/>
    <n v="54582.48"/>
    <n v="0.05"/>
    <x v="21"/>
    <n v="90766.36"/>
    <n v="12940.35"/>
    <n v="109164.96"/>
    <n v="5458.2480000000005"/>
    <n v="12.477832919393547"/>
  </r>
  <r>
    <s v="ORD10023"/>
    <x v="21"/>
    <s v="CUST1139"/>
    <s v="Jaipur"/>
    <x v="1"/>
    <x v="9"/>
    <x v="3"/>
    <x v="5"/>
    <n v="5"/>
    <n v="74128.649999999994"/>
    <n v="0.05"/>
    <x v="22"/>
    <n v="301634.92"/>
    <n v="50476.17"/>
    <n v="370643.25"/>
    <n v="18532.162500000002"/>
    <n v="14.335296851911139"/>
  </r>
  <r>
    <s v="ORD10024"/>
    <x v="22"/>
    <s v="CUST1147"/>
    <s v="Mumbai"/>
    <x v="4"/>
    <x v="3"/>
    <x v="2"/>
    <x v="1"/>
    <n v="6"/>
    <n v="13698.72"/>
    <n v="0.05"/>
    <x v="23"/>
    <n v="62231.67"/>
    <n v="15851.03"/>
    <n v="82192.319999999992"/>
    <n v="4109.616"/>
    <n v="20.300309799737974"/>
  </r>
  <r>
    <s v="ORD10025"/>
    <x v="23"/>
    <s v="CUST1104"/>
    <s v="Indore"/>
    <x v="0"/>
    <x v="7"/>
    <x v="0"/>
    <x v="6"/>
    <n v="1"/>
    <n v="7964.23"/>
    <n v="0"/>
    <x v="24"/>
    <n v="6035.85"/>
    <n v="1928.38"/>
    <n v="7964.23"/>
    <n v="0"/>
    <n v="24.21301243183585"/>
  </r>
  <r>
    <s v="ORD10026"/>
    <x v="24"/>
    <s v="CUST1007"/>
    <s v="Chennai"/>
    <x v="2"/>
    <x v="3"/>
    <x v="2"/>
    <x v="3"/>
    <n v="7"/>
    <n v="8723.36"/>
    <n v="0.05"/>
    <x v="25"/>
    <n v="47365.78"/>
    <n v="10644.56"/>
    <n v="61063.520000000004"/>
    <n v="3053.1760000000004"/>
    <n v="18.349418396789265"/>
  </r>
  <r>
    <s v="ORD10027"/>
    <x v="25"/>
    <s v="CUST1140"/>
    <s v="Bengaluru"/>
    <x v="2"/>
    <x v="3"/>
    <x v="2"/>
    <x v="0"/>
    <n v="1"/>
    <n v="18399.259999999998"/>
    <n v="0"/>
    <x v="26"/>
    <n v="16353.77"/>
    <n v="2045.49"/>
    <n v="18399.259999999998"/>
    <n v="0"/>
    <n v="11.117240584675688"/>
  </r>
  <r>
    <s v="ORD10028"/>
    <x v="26"/>
    <s v="CUST1148"/>
    <s v="Hyderabad"/>
    <x v="2"/>
    <x v="7"/>
    <x v="0"/>
    <x v="7"/>
    <n v="3"/>
    <n v="10763.51"/>
    <n v="0.05"/>
    <x v="27"/>
    <n v="22037.66"/>
    <n v="8638.34"/>
    <n v="32290.53"/>
    <n v="1614.5264999999999"/>
    <n v="28.159929586647543"/>
  </r>
  <r>
    <s v="ORD10029"/>
    <x v="27"/>
    <s v="CUST1104"/>
    <s v="Jaipur"/>
    <x v="1"/>
    <x v="9"/>
    <x v="3"/>
    <x v="3"/>
    <n v="3"/>
    <n v="70681.27"/>
    <n v="0.1"/>
    <x v="28"/>
    <n v="160584.88"/>
    <n v="30254.55"/>
    <n v="212043.81"/>
    <n v="21204.381000000001"/>
    <n v="15.853406185503699"/>
  </r>
  <r>
    <s v="ORD10030"/>
    <x v="28"/>
    <s v="CUST1054"/>
    <s v="Ahmedabad"/>
    <x v="4"/>
    <x v="3"/>
    <x v="2"/>
    <x v="2"/>
    <n v="5"/>
    <n v="21924.04"/>
    <n v="0"/>
    <x v="29"/>
    <n v="94641.29"/>
    <n v="14978.91"/>
    <n v="109620.20000000001"/>
    <n v="0"/>
    <n v="13.664370252927839"/>
  </r>
  <r>
    <s v="ORD10031"/>
    <x v="29"/>
    <s v="CUST1148"/>
    <s v="Kolkata"/>
    <x v="3"/>
    <x v="3"/>
    <x v="2"/>
    <x v="7"/>
    <n v="4"/>
    <n v="10222.209999999999"/>
    <n v="0"/>
    <x v="30"/>
    <n v="35203.33"/>
    <n v="5685.51"/>
    <n v="40888.839999999997"/>
    <n v="0"/>
    <n v="13.904796516604531"/>
  </r>
  <r>
    <s v="ORD10032"/>
    <x v="12"/>
    <s v="CUST1022"/>
    <s v="Ahmedabad"/>
    <x v="4"/>
    <x v="9"/>
    <x v="3"/>
    <x v="4"/>
    <n v="4"/>
    <n v="57322.43"/>
    <n v="0.05"/>
    <x v="31"/>
    <n v="186538.28"/>
    <n v="31286.95"/>
    <n v="229289.72"/>
    <n v="11464.486000000001"/>
    <n v="14.363326966302296"/>
  </r>
  <r>
    <s v="ORD10033"/>
    <x v="30"/>
    <s v="CUST1021"/>
    <s v="Nagpur"/>
    <x v="0"/>
    <x v="6"/>
    <x v="3"/>
    <x v="4"/>
    <n v="6"/>
    <n v="19220.54"/>
    <n v="0.1"/>
    <x v="32"/>
    <n v="88903.21"/>
    <n v="14887.71"/>
    <n v="115323.24"/>
    <n v="11532.324000000001"/>
    <n v="14.34394261077944"/>
  </r>
  <r>
    <s v="ORD10034"/>
    <x v="31"/>
    <s v="CUST1049"/>
    <s v="Chennai"/>
    <x v="2"/>
    <x v="9"/>
    <x v="3"/>
    <x v="7"/>
    <n v="5"/>
    <n v="52809.72"/>
    <n v="0.05"/>
    <x v="33"/>
    <n v="216429.97"/>
    <n v="34416.199999999997"/>
    <n v="264048.59999999998"/>
    <n v="13202.43"/>
    <n v="13.7200420480807"/>
  </r>
  <r>
    <s v="ORD10035"/>
    <x v="32"/>
    <s v="CUST1046"/>
    <s v="Chennai"/>
    <x v="2"/>
    <x v="1"/>
    <x v="1"/>
    <x v="0"/>
    <n v="4"/>
    <n v="4510.67"/>
    <n v="0"/>
    <x v="34"/>
    <n v="13158.86"/>
    <n v="4883.82"/>
    <n v="18042.68"/>
    <n v="0"/>
    <n v="27.068151737990142"/>
  </r>
  <r>
    <s v="ORD10036"/>
    <x v="33"/>
    <s v="CUST1067"/>
    <s v="Ahmedabad"/>
    <x v="4"/>
    <x v="9"/>
    <x v="3"/>
    <x v="7"/>
    <n v="5"/>
    <n v="48013.85"/>
    <n v="0"/>
    <x v="35"/>
    <n v="200430.54"/>
    <n v="39638.71"/>
    <n v="240069.25"/>
    <n v="0"/>
    <n v="16.511364949905079"/>
  </r>
  <r>
    <s v="ORD10037"/>
    <x v="34"/>
    <s v="CUST1114"/>
    <s v="Lucknow"/>
    <x v="1"/>
    <x v="2"/>
    <x v="1"/>
    <x v="7"/>
    <n v="2"/>
    <n v="9457.32"/>
    <n v="0.1"/>
    <x v="36"/>
    <n v="14496.09"/>
    <n v="2527.09"/>
    <n v="18914.64"/>
    <n v="1891.4639999999999"/>
    <n v="14.844993708578539"/>
  </r>
  <r>
    <s v="ORD10038"/>
    <x v="35"/>
    <s v="CUST1039"/>
    <s v="Pune"/>
    <x v="4"/>
    <x v="2"/>
    <x v="1"/>
    <x v="0"/>
    <n v="1"/>
    <n v="8957.67"/>
    <n v="0.1"/>
    <x v="37"/>
    <n v="6801.06"/>
    <n v="1260.8399999999999"/>
    <n v="8957.67"/>
    <n v="895.76700000000005"/>
    <n v="15.639489450377702"/>
  </r>
  <r>
    <s v="ORD10039"/>
    <x v="36"/>
    <s v="CUST1135"/>
    <s v="Delhi"/>
    <x v="1"/>
    <x v="2"/>
    <x v="1"/>
    <x v="6"/>
    <n v="1"/>
    <n v="8385.9599999999991"/>
    <n v="0.05"/>
    <x v="38"/>
    <n v="6773.32"/>
    <n v="1193.3399999999999"/>
    <n v="8385.9599999999991"/>
    <n v="419.298"/>
    <n v="14.979175714791392"/>
  </r>
  <r>
    <s v="ORD10040"/>
    <x v="37"/>
    <s v="CUST1143"/>
    <s v="Kolkata"/>
    <x v="3"/>
    <x v="8"/>
    <x v="1"/>
    <x v="3"/>
    <n v="6"/>
    <n v="8219.61"/>
    <n v="0.1"/>
    <x v="39"/>
    <n v="33924.1"/>
    <n v="10461.790000000001"/>
    <n v="49317.66"/>
    <n v="4931.7660000000005"/>
    <n v="23.570080491795931"/>
  </r>
  <r>
    <s v="ORD10041"/>
    <x v="38"/>
    <s v="CUST1058"/>
    <s v="Patna"/>
    <x v="3"/>
    <x v="6"/>
    <x v="3"/>
    <x v="1"/>
    <n v="2"/>
    <n v="17531.97"/>
    <n v="0.05"/>
    <x v="40"/>
    <n v="29025.18"/>
    <n v="4285.5600000000004"/>
    <n v="35063.94"/>
    <n v="1753.1970000000001"/>
    <n v="12.865400168234032"/>
  </r>
  <r>
    <s v="ORD10042"/>
    <x v="39"/>
    <s v="CUST1053"/>
    <s v="Bengaluru"/>
    <x v="2"/>
    <x v="6"/>
    <x v="3"/>
    <x v="3"/>
    <n v="3"/>
    <n v="16884.900000000001"/>
    <n v="0"/>
    <x v="41"/>
    <n v="42943.82"/>
    <n v="7710.88"/>
    <n v="50654.700000000004"/>
    <n v="0"/>
    <n v="15.222437404623857"/>
  </r>
  <r>
    <s v="ORD10043"/>
    <x v="40"/>
    <s v="CUST1099"/>
    <s v="Bhopal"/>
    <x v="0"/>
    <x v="7"/>
    <x v="0"/>
    <x v="5"/>
    <n v="5"/>
    <n v="6450.91"/>
    <n v="0"/>
    <x v="42"/>
    <n v="24856.57"/>
    <n v="7397.98"/>
    <n v="32254.55"/>
    <n v="0"/>
    <n v="22.936236903010581"/>
  </r>
  <r>
    <s v="ORD10044"/>
    <x v="25"/>
    <s v="CUST1019"/>
    <s v="Kolkata"/>
    <x v="3"/>
    <x v="4"/>
    <x v="3"/>
    <x v="3"/>
    <n v="6"/>
    <n v="40815.019999999997"/>
    <n v="0"/>
    <x v="43"/>
    <n v="221406.66"/>
    <n v="23483.46"/>
    <n v="244890.12"/>
    <n v="0"/>
    <n v="9.5893864562604652"/>
  </r>
  <r>
    <s v="ORD10045"/>
    <x v="41"/>
    <s v="CUST1140"/>
    <s v="Delhi"/>
    <x v="1"/>
    <x v="2"/>
    <x v="1"/>
    <x v="0"/>
    <n v="5"/>
    <n v="1715.48"/>
    <n v="0"/>
    <x v="44"/>
    <n v="6935.71"/>
    <n v="1641.69"/>
    <n v="8577.4"/>
    <n v="0"/>
    <n v="19.139715997854829"/>
  </r>
  <r>
    <s v="ORD10046"/>
    <x v="42"/>
    <s v="CUST1089"/>
    <s v="Bengaluru"/>
    <x v="2"/>
    <x v="2"/>
    <x v="1"/>
    <x v="7"/>
    <n v="2"/>
    <n v="2829.71"/>
    <n v="0"/>
    <x v="45"/>
    <n v="4803.3500000000004"/>
    <n v="856.07"/>
    <n v="5659.42"/>
    <n v="0"/>
    <n v="15.126461722225953"/>
  </r>
  <r>
    <s v="ORD10047"/>
    <x v="43"/>
    <s v="CUST1093"/>
    <s v="Bhopal"/>
    <x v="0"/>
    <x v="9"/>
    <x v="3"/>
    <x v="5"/>
    <n v="7"/>
    <n v="83194.61"/>
    <n v="0.05"/>
    <x v="46"/>
    <n v="484881.28"/>
    <n v="68362.880000000005"/>
    <n v="582362.27"/>
    <n v="29118.113500000003"/>
    <n v="12.356728718112452"/>
  </r>
  <r>
    <s v="ORD10048"/>
    <x v="44"/>
    <s v="CUST1047"/>
    <s v="Bengaluru"/>
    <x v="2"/>
    <x v="5"/>
    <x v="3"/>
    <x v="6"/>
    <n v="1"/>
    <n v="33219.69"/>
    <n v="0"/>
    <x v="47"/>
    <n v="30619.85"/>
    <n v="2599.84"/>
    <n v="33219.69"/>
    <n v="0"/>
    <n v="7.8262018700355123"/>
  </r>
  <r>
    <s v="ORD10049"/>
    <x v="45"/>
    <s v="CUST1100"/>
    <s v="Bhubaneswar"/>
    <x v="3"/>
    <x v="8"/>
    <x v="1"/>
    <x v="6"/>
    <n v="2"/>
    <n v="3093.57"/>
    <n v="0.1"/>
    <x v="48"/>
    <n v="4316.1000000000004"/>
    <n v="1252.33"/>
    <n v="6187.14"/>
    <n v="618.71400000000006"/>
    <n v="22.489822086297213"/>
  </r>
  <r>
    <s v="ORD10050"/>
    <x v="28"/>
    <s v="CUST1138"/>
    <s v="Bhubaneswar"/>
    <x v="3"/>
    <x v="1"/>
    <x v="1"/>
    <x v="1"/>
    <n v="2"/>
    <n v="2473.7199999999998"/>
    <n v="0.1"/>
    <x v="49"/>
    <n v="3271.54"/>
    <n v="1181.1600000000001"/>
    <n v="4947.4399999999996"/>
    <n v="494.74399999999997"/>
    <n v="26.526826419924994"/>
  </r>
  <r>
    <s v="ORD10051"/>
    <x v="23"/>
    <s v="CUST1002"/>
    <s v="Bengaluru"/>
    <x v="2"/>
    <x v="9"/>
    <x v="3"/>
    <x v="6"/>
    <n v="5"/>
    <n v="66575.100000000006"/>
    <n v="0"/>
    <x v="50"/>
    <n v="303896.40000000002"/>
    <n v="28979.1"/>
    <n v="332875.5"/>
    <n v="0"/>
    <n v="8.7056872614536047"/>
  </r>
  <r>
    <s v="ORD10052"/>
    <x v="46"/>
    <s v="CUST1101"/>
    <s v="Hyderabad"/>
    <x v="2"/>
    <x v="8"/>
    <x v="1"/>
    <x v="3"/>
    <n v="2"/>
    <n v="7415.12"/>
    <n v="0.05"/>
    <x v="51"/>
    <n v="12162.73"/>
    <n v="1926"/>
    <n v="14830.24"/>
    <n v="741.51200000000006"/>
    <n v="13.670501173633109"/>
  </r>
  <r>
    <s v="ORD10053"/>
    <x v="10"/>
    <s v="CUST1046"/>
    <s v="Mumbai"/>
    <x v="4"/>
    <x v="0"/>
    <x v="0"/>
    <x v="1"/>
    <n v="4"/>
    <n v="26012.36"/>
    <n v="0"/>
    <x v="52"/>
    <n v="84722.18"/>
    <n v="19327.259999999998"/>
    <n v="104049.44"/>
    <n v="0"/>
    <n v="18.575073541962357"/>
  </r>
  <r>
    <s v="ORD10054"/>
    <x v="47"/>
    <s v="CUST1090"/>
    <s v="Ahmedabad"/>
    <x v="4"/>
    <x v="4"/>
    <x v="3"/>
    <x v="4"/>
    <n v="1"/>
    <n v="49150.34"/>
    <n v="0.05"/>
    <x v="53"/>
    <n v="42271.68"/>
    <n v="4421.1400000000003"/>
    <n v="49150.34"/>
    <n v="2457.5169999999998"/>
    <n v="9.4685649742294427"/>
  </r>
  <r>
    <s v="ORD10055"/>
    <x v="48"/>
    <s v="CUST1120"/>
    <s v="Lucknow"/>
    <x v="1"/>
    <x v="7"/>
    <x v="0"/>
    <x v="3"/>
    <n v="5"/>
    <n v="7008.8"/>
    <n v="0"/>
    <x v="54"/>
    <n v="24797.21"/>
    <n v="10246.790000000001"/>
    <n v="35044"/>
    <n v="0"/>
    <n v="29.23978427120192"/>
  </r>
  <r>
    <s v="ORD10056"/>
    <x v="49"/>
    <s v="CUST1099"/>
    <s v="Bhopal"/>
    <x v="0"/>
    <x v="3"/>
    <x v="2"/>
    <x v="7"/>
    <n v="5"/>
    <n v="19151.330000000002"/>
    <n v="0.1"/>
    <x v="55"/>
    <n v="69218.83"/>
    <n v="16962.16"/>
    <n v="95756.650000000009"/>
    <n v="9575.6650000000009"/>
    <n v="19.682020362031114"/>
  </r>
  <r>
    <s v="ORD10057"/>
    <x v="37"/>
    <s v="CUST1113"/>
    <s v="Pune"/>
    <x v="4"/>
    <x v="9"/>
    <x v="3"/>
    <x v="5"/>
    <n v="7"/>
    <n v="76056.52"/>
    <n v="0.1"/>
    <x v="56"/>
    <n v="399692.22"/>
    <n v="79463.86"/>
    <n v="532395.64"/>
    <n v="53239.564000000006"/>
    <n v="16.584128495249399"/>
  </r>
  <r>
    <s v="ORD10058"/>
    <x v="50"/>
    <s v="CUST1112"/>
    <s v="Delhi"/>
    <x v="1"/>
    <x v="3"/>
    <x v="2"/>
    <x v="6"/>
    <n v="6"/>
    <n v="11717.67"/>
    <n v="0.1"/>
    <x v="57"/>
    <n v="53111.47"/>
    <n v="10163.950000000001"/>
    <n v="70306.02"/>
    <n v="7030.6020000000008"/>
    <n v="16.063030478501762"/>
  </r>
  <r>
    <s v="ORD10059"/>
    <x v="51"/>
    <s v="CUST1028"/>
    <s v="Ahmedabad"/>
    <x v="4"/>
    <x v="9"/>
    <x v="3"/>
    <x v="4"/>
    <n v="5"/>
    <n v="47139.41"/>
    <n v="0.1"/>
    <x v="58"/>
    <n v="193220.72"/>
    <n v="18906.63"/>
    <n v="235697.05000000002"/>
    <n v="23569.705000000002"/>
    <n v="8.912867671236171"/>
  </r>
  <r>
    <s v="ORD10060"/>
    <x v="52"/>
    <s v="CUST1123"/>
    <s v="Indore"/>
    <x v="0"/>
    <x v="5"/>
    <x v="3"/>
    <x v="0"/>
    <n v="5"/>
    <n v="25804.720000000001"/>
    <n v="0"/>
    <x v="59"/>
    <n v="112996.33"/>
    <n v="16027.27"/>
    <n v="129023.6"/>
    <n v="0"/>
    <n v="12.421967764036966"/>
  </r>
  <r>
    <s v="ORD10061"/>
    <x v="9"/>
    <s v="CUST1122"/>
    <s v="Delhi"/>
    <x v="1"/>
    <x v="3"/>
    <x v="2"/>
    <x v="0"/>
    <n v="5"/>
    <n v="8723.15"/>
    <n v="0.05"/>
    <x v="60"/>
    <n v="37005.269999999997"/>
    <n v="4429.6899999999996"/>
    <n v="43615.75"/>
    <n v="2180.7874999999999"/>
    <n v="10.690706591728336"/>
  </r>
  <r>
    <s v="ORD10062"/>
    <x v="53"/>
    <s v="CUST1007"/>
    <s v="Delhi"/>
    <x v="1"/>
    <x v="4"/>
    <x v="3"/>
    <x v="4"/>
    <n v="1"/>
    <n v="63432.6"/>
    <n v="0.1"/>
    <x v="61"/>
    <n v="50487.55"/>
    <n v="6601.79"/>
    <n v="63432.6"/>
    <n v="6343.26"/>
    <n v="11.56396272929412"/>
  </r>
  <r>
    <s v="ORD10063"/>
    <x v="54"/>
    <s v="CUST1083"/>
    <s v="Jaipur"/>
    <x v="1"/>
    <x v="2"/>
    <x v="1"/>
    <x v="7"/>
    <n v="3"/>
    <n v="4871.54"/>
    <n v="0.05"/>
    <x v="62"/>
    <n v="11804.61"/>
    <n v="2079.2800000000002"/>
    <n v="14614.619999999999"/>
    <n v="730.73099999999999"/>
    <n v="14.976206236148517"/>
  </r>
  <r>
    <s v="ORD10064"/>
    <x v="55"/>
    <s v="CUST1019"/>
    <s v="Patna"/>
    <x v="3"/>
    <x v="7"/>
    <x v="0"/>
    <x v="0"/>
    <n v="4"/>
    <n v="21762.02"/>
    <n v="0"/>
    <x v="63"/>
    <n v="63981.93"/>
    <n v="23066.15"/>
    <n v="87048.08"/>
    <n v="0"/>
    <n v="26.498172044690705"/>
  </r>
  <r>
    <s v="ORD10065"/>
    <x v="56"/>
    <s v="CUST1126"/>
    <s v="Delhi"/>
    <x v="1"/>
    <x v="2"/>
    <x v="1"/>
    <x v="1"/>
    <n v="7"/>
    <n v="9204.01"/>
    <n v="0"/>
    <x v="64"/>
    <n v="53446.83"/>
    <n v="10981.24"/>
    <n v="64428.07"/>
    <n v="0"/>
    <n v="17.044185864949856"/>
  </r>
  <r>
    <s v="ORD10066"/>
    <x v="57"/>
    <s v="CUST1092"/>
    <s v="Chennai"/>
    <x v="2"/>
    <x v="0"/>
    <x v="0"/>
    <x v="4"/>
    <n v="1"/>
    <n v="9468.0499999999993"/>
    <n v="0.05"/>
    <x v="65"/>
    <n v="6820.42"/>
    <n v="2174.23"/>
    <n v="9468.0499999999993"/>
    <n v="473.40249999999997"/>
    <n v="24.172480307738489"/>
  </r>
  <r>
    <s v="ORD10067"/>
    <x v="58"/>
    <s v="CUST1044"/>
    <s v="Chennai"/>
    <x v="2"/>
    <x v="9"/>
    <x v="3"/>
    <x v="0"/>
    <n v="1"/>
    <n v="48315.65"/>
    <n v="0"/>
    <x v="66"/>
    <n v="39796.53"/>
    <n v="8519.1200000000008"/>
    <n v="48315.65"/>
    <n v="0"/>
    <n v="17.632216476441901"/>
  </r>
  <r>
    <s v="ORD10068"/>
    <x v="46"/>
    <s v="CUST1147"/>
    <s v="Kolkata"/>
    <x v="3"/>
    <x v="1"/>
    <x v="1"/>
    <x v="3"/>
    <n v="5"/>
    <n v="982.28"/>
    <n v="0.15"/>
    <x v="67"/>
    <n v="3508.44"/>
    <n v="666.25"/>
    <n v="4911.3999999999996"/>
    <n v="736.70999999999992"/>
    <n v="15.959268831937223"/>
  </r>
  <r>
    <s v="ORD10069"/>
    <x v="59"/>
    <s v="CUST1003"/>
    <s v="Lucknow"/>
    <x v="1"/>
    <x v="9"/>
    <x v="3"/>
    <x v="7"/>
    <n v="7"/>
    <n v="72829.95"/>
    <n v="0.15"/>
    <x v="68"/>
    <n v="368470.72"/>
    <n v="64867.48"/>
    <n v="509809.64999999997"/>
    <n v="76471.447499999995"/>
    <n v="14.969250345342274"/>
  </r>
  <r>
    <s v="ORD10070"/>
    <x v="60"/>
    <s v="CUST1090"/>
    <s v="Bengaluru"/>
    <x v="2"/>
    <x v="0"/>
    <x v="0"/>
    <x v="7"/>
    <n v="4"/>
    <n v="15284.96"/>
    <n v="0"/>
    <x v="69"/>
    <n v="50112.56"/>
    <n v="11027.28"/>
    <n v="61139.839999999997"/>
    <n v="0"/>
    <n v="18.036161036731535"/>
  </r>
  <r>
    <s v="ORD10071"/>
    <x v="61"/>
    <s v="CUST1145"/>
    <s v="Chennai"/>
    <x v="2"/>
    <x v="4"/>
    <x v="3"/>
    <x v="6"/>
    <n v="5"/>
    <n v="28296.9"/>
    <n v="0.15"/>
    <x v="70"/>
    <n v="102371.8"/>
    <n v="17890.02"/>
    <n v="141484.5"/>
    <n v="21222.674999999999"/>
    <n v="14.875893280178198"/>
  </r>
  <r>
    <s v="ORD10072"/>
    <x v="62"/>
    <s v="CUST1010"/>
    <s v="Kolkata"/>
    <x v="3"/>
    <x v="5"/>
    <x v="3"/>
    <x v="7"/>
    <n v="2"/>
    <n v="35031.040000000001"/>
    <n v="0"/>
    <x v="71"/>
    <n v="61493.16"/>
    <n v="8568.92"/>
    <n v="70062.080000000002"/>
    <n v="0"/>
    <n v="12.230467608155509"/>
  </r>
  <r>
    <s v="ORD10073"/>
    <x v="63"/>
    <s v="CUST1011"/>
    <s v="Hyderabad"/>
    <x v="2"/>
    <x v="1"/>
    <x v="1"/>
    <x v="0"/>
    <n v="1"/>
    <n v="910.74"/>
    <n v="0.1"/>
    <x v="72"/>
    <n v="645.53"/>
    <n v="174.14"/>
    <n v="910.74"/>
    <n v="91.074000000000012"/>
    <n v="21.245135237351619"/>
  </r>
  <r>
    <s v="ORD10074"/>
    <x v="64"/>
    <s v="CUST1099"/>
    <s v="Lucknow"/>
    <x v="1"/>
    <x v="6"/>
    <x v="3"/>
    <x v="5"/>
    <n v="1"/>
    <n v="30558.27"/>
    <n v="0.1"/>
    <x v="73"/>
    <n v="23463.18"/>
    <n v="4039.26"/>
    <n v="30558.27"/>
    <n v="3055.8270000000002"/>
    <n v="14.686915051900851"/>
  </r>
  <r>
    <s v="ORD10075"/>
    <x v="65"/>
    <s v="CUST1053"/>
    <s v="Chennai"/>
    <x v="2"/>
    <x v="9"/>
    <x v="3"/>
    <x v="0"/>
    <n v="5"/>
    <n v="66373.850000000006"/>
    <n v="0.15"/>
    <x v="74"/>
    <n v="243853.64"/>
    <n v="38235.22"/>
    <n v="331869.25"/>
    <n v="49780.387499999997"/>
    <n v="13.554317600489435"/>
  </r>
  <r>
    <s v="ORD10076"/>
    <x v="66"/>
    <s v="CUST1004"/>
    <s v="Bengaluru"/>
    <x v="2"/>
    <x v="5"/>
    <x v="3"/>
    <x v="4"/>
    <n v="6"/>
    <n v="18925.75"/>
    <n v="0"/>
    <x v="75"/>
    <n v="103035.97"/>
    <n v="10518.53"/>
    <n v="113554.5"/>
    <n v="0"/>
    <n v="9.262979450396065"/>
  </r>
  <r>
    <s v="ORD10077"/>
    <x v="67"/>
    <s v="CUST1123"/>
    <s v="Chennai"/>
    <x v="2"/>
    <x v="0"/>
    <x v="0"/>
    <x v="1"/>
    <n v="2"/>
    <n v="7465.88"/>
    <n v="0.05"/>
    <x v="76"/>
    <n v="10600.89"/>
    <n v="3584.28"/>
    <n v="14931.76"/>
    <n v="746.58800000000008"/>
    <n v="25.267797284064979"/>
  </r>
  <r>
    <s v="ORD10078"/>
    <x v="68"/>
    <s v="CUST1112"/>
    <s v="Mumbai"/>
    <x v="4"/>
    <x v="6"/>
    <x v="3"/>
    <x v="5"/>
    <n v="6"/>
    <n v="34167.32"/>
    <n v="0.1"/>
    <x v="77"/>
    <n v="158608.78"/>
    <n v="25894.75"/>
    <n v="205003.91999999998"/>
    <n v="20500.392"/>
    <n v="14.034826325545099"/>
  </r>
  <r>
    <s v="ORD10079"/>
    <x v="69"/>
    <s v="CUST1038"/>
    <s v="Bhopal"/>
    <x v="0"/>
    <x v="1"/>
    <x v="1"/>
    <x v="1"/>
    <n v="3"/>
    <n v="3485.32"/>
    <n v="0"/>
    <x v="78"/>
    <n v="8702.2000000000007"/>
    <n v="1753.76"/>
    <n v="10455.960000000001"/>
    <n v="0"/>
    <n v="16.772826215861578"/>
  </r>
  <r>
    <s v="ORD10080"/>
    <x v="70"/>
    <s v="CUST1079"/>
    <s v="Pune"/>
    <x v="4"/>
    <x v="5"/>
    <x v="3"/>
    <x v="3"/>
    <n v="4"/>
    <n v="37316.44"/>
    <n v="0.05"/>
    <x v="79"/>
    <n v="126121.68"/>
    <n v="15680.79"/>
    <n v="149265.76"/>
    <n v="7463.2880000000005"/>
    <n v="11.058192427818783"/>
  </r>
  <r>
    <s v="ORD10081"/>
    <x v="71"/>
    <s v="CUST1145"/>
    <s v="Delhi"/>
    <x v="1"/>
    <x v="2"/>
    <x v="1"/>
    <x v="1"/>
    <n v="5"/>
    <n v="8830.09"/>
    <n v="0.1"/>
    <x v="80"/>
    <n v="31982.16"/>
    <n v="7753.24"/>
    <n v="44150.45"/>
    <n v="4415.0450000000001"/>
    <n v="19.512173024557448"/>
  </r>
  <r>
    <s v="ORD10082"/>
    <x v="72"/>
    <s v="CUST1126"/>
    <s v="Chennai"/>
    <x v="2"/>
    <x v="8"/>
    <x v="1"/>
    <x v="2"/>
    <n v="2"/>
    <n v="6158.67"/>
    <n v="0.05"/>
    <x v="81"/>
    <n v="9768.81"/>
    <n v="1932.66"/>
    <n v="12317.34"/>
    <n v="615.86700000000008"/>
    <n v="16.516386402734017"/>
  </r>
  <r>
    <s v="ORD10083"/>
    <x v="73"/>
    <s v="CUST1118"/>
    <s v="Hyderabad"/>
    <x v="2"/>
    <x v="10"/>
    <x v="3"/>
    <x v="7"/>
    <n v="7"/>
    <n v="27043.38"/>
    <n v="0"/>
    <x v="82"/>
    <n v="173464.39"/>
    <n v="15839.27"/>
    <n v="189303.66"/>
    <n v="0"/>
    <n v="8.3671229600103878"/>
  </r>
  <r>
    <s v="ORD10084"/>
    <x v="74"/>
    <s v="CUST1093"/>
    <s v="Indore"/>
    <x v="0"/>
    <x v="0"/>
    <x v="0"/>
    <x v="7"/>
    <n v="1"/>
    <n v="21626.53"/>
    <n v="0.1"/>
    <x v="83"/>
    <n v="15242.64"/>
    <n v="4221.24"/>
    <n v="21626.53"/>
    <n v="2162.6529999999998"/>
    <n v="21.687556643382511"/>
  </r>
  <r>
    <s v="ORD10085"/>
    <x v="75"/>
    <s v="CUST1022"/>
    <s v="Bengaluru"/>
    <x v="2"/>
    <x v="5"/>
    <x v="3"/>
    <x v="0"/>
    <n v="5"/>
    <n v="13144.32"/>
    <n v="0"/>
    <x v="84"/>
    <n v="59064.94"/>
    <n v="6656.66"/>
    <n v="65721.600000000006"/>
    <n v="0"/>
    <n v="10.128572645827246"/>
  </r>
  <r>
    <s v="ORD10086"/>
    <x v="76"/>
    <s v="CUST1045"/>
    <s v="Bhopal"/>
    <x v="0"/>
    <x v="3"/>
    <x v="2"/>
    <x v="2"/>
    <n v="6"/>
    <n v="14543.8"/>
    <n v="0"/>
    <x v="85"/>
    <n v="73264.97"/>
    <n v="13997.83"/>
    <n v="87262.799999999988"/>
    <n v="0"/>
    <n v="16.041004872637597"/>
  </r>
  <r>
    <s v="ORD10087"/>
    <x v="77"/>
    <s v="CUST1063"/>
    <s v="Bengaluru"/>
    <x v="2"/>
    <x v="3"/>
    <x v="2"/>
    <x v="7"/>
    <n v="6"/>
    <n v="17547.490000000002"/>
    <n v="0"/>
    <x v="86"/>
    <n v="83719.490000000005"/>
    <n v="21565.45"/>
    <n v="105284.94"/>
    <n v="0"/>
    <n v="20.482938965439882"/>
  </r>
  <r>
    <s v="ORD10088"/>
    <x v="75"/>
    <s v="CUST1047"/>
    <s v="Mumbai"/>
    <x v="4"/>
    <x v="2"/>
    <x v="1"/>
    <x v="5"/>
    <n v="1"/>
    <n v="8880.56"/>
    <n v="0.05"/>
    <x v="87"/>
    <n v="6256.95"/>
    <n v="2179.58"/>
    <n v="8880.56"/>
    <n v="444.02800000000002"/>
    <n v="25.835029330779356"/>
  </r>
  <r>
    <s v="ORD10089"/>
    <x v="78"/>
    <s v="CUST1014"/>
    <s v="Nagpur"/>
    <x v="0"/>
    <x v="2"/>
    <x v="1"/>
    <x v="2"/>
    <n v="6"/>
    <n v="7959.62"/>
    <n v="0.05"/>
    <x v="88"/>
    <n v="34948.54"/>
    <n v="10421.290000000001"/>
    <n v="47757.72"/>
    <n v="2387.886"/>
    <n v="22.969647450739846"/>
  </r>
  <r>
    <s v="ORD10090"/>
    <x v="79"/>
    <s v="CUST1038"/>
    <s v="Ahmedabad"/>
    <x v="4"/>
    <x v="7"/>
    <x v="0"/>
    <x v="2"/>
    <n v="7"/>
    <n v="13698.52"/>
    <n v="0"/>
    <x v="89"/>
    <n v="68650.67"/>
    <n v="27238.97"/>
    <n v="95889.64"/>
    <n v="0"/>
    <n v="28.406582817497284"/>
  </r>
  <r>
    <s v="ORD10091"/>
    <x v="80"/>
    <s v="CUST1086"/>
    <s v="Lucknow"/>
    <x v="1"/>
    <x v="7"/>
    <x v="0"/>
    <x v="1"/>
    <n v="2"/>
    <n v="11413.83"/>
    <n v="0.05"/>
    <x v="90"/>
    <n v="15594.92"/>
    <n v="6091.36"/>
    <n v="22827.66"/>
    <n v="1141.383"/>
    <n v="28.088542617728812"/>
  </r>
  <r>
    <s v="ORD10092"/>
    <x v="81"/>
    <s v="CUST1109"/>
    <s v="Chennai"/>
    <x v="2"/>
    <x v="3"/>
    <x v="2"/>
    <x v="1"/>
    <n v="4"/>
    <n v="27372.65"/>
    <n v="0.05"/>
    <x v="91"/>
    <n v="89182.080000000002"/>
    <n v="14833.99"/>
    <n v="109490.6"/>
    <n v="5474.5300000000007"/>
    <n v="14.261248285961967"/>
  </r>
  <r>
    <s v="ORD10093"/>
    <x v="82"/>
    <s v="CUST1101"/>
    <s v="Indore"/>
    <x v="0"/>
    <x v="6"/>
    <x v="3"/>
    <x v="4"/>
    <n v="1"/>
    <n v="24257.87"/>
    <n v="0.05"/>
    <x v="92"/>
    <n v="19867.599999999999"/>
    <n v="3177.38"/>
    <n v="24257.87"/>
    <n v="1212.8934999999999"/>
    <n v="13.787731644809412"/>
  </r>
  <r>
    <s v="ORD10094"/>
    <x v="39"/>
    <s v="CUST1033"/>
    <s v="Bengaluru"/>
    <x v="2"/>
    <x v="4"/>
    <x v="3"/>
    <x v="0"/>
    <n v="3"/>
    <n v="27217.66"/>
    <n v="0.15"/>
    <x v="93"/>
    <n v="61456.78"/>
    <n v="7948.25"/>
    <n v="81652.98"/>
    <n v="12247.946999999998"/>
    <n v="11.451979777258218"/>
  </r>
  <r>
    <s v="ORD10095"/>
    <x v="83"/>
    <s v="CUST1094"/>
    <s v="Bhopal"/>
    <x v="0"/>
    <x v="6"/>
    <x v="3"/>
    <x v="5"/>
    <n v="4"/>
    <n v="18499.28"/>
    <n v="0.1"/>
    <x v="94"/>
    <n v="59352.36"/>
    <n v="7245.05"/>
    <n v="73997.119999999995"/>
    <n v="7399.7119999999995"/>
    <n v="10.878876520873709"/>
  </r>
  <r>
    <s v="ORD10096"/>
    <x v="84"/>
    <s v="CUST1006"/>
    <s v="Delhi"/>
    <x v="1"/>
    <x v="3"/>
    <x v="2"/>
    <x v="1"/>
    <n v="3"/>
    <n v="7925.61"/>
    <n v="0"/>
    <x v="95"/>
    <n v="19410.560000000001"/>
    <n v="4366.2700000000004"/>
    <n v="23776.829999999998"/>
    <n v="0"/>
    <n v="18.363549724668932"/>
  </r>
  <r>
    <s v="ORD10097"/>
    <x v="85"/>
    <s v="CUST1062"/>
    <s v="Hyderabad"/>
    <x v="2"/>
    <x v="8"/>
    <x v="1"/>
    <x v="6"/>
    <n v="6"/>
    <n v="1257.24"/>
    <n v="0"/>
    <x v="96"/>
    <n v="6470.65"/>
    <n v="1072.79"/>
    <n v="7543.4400000000005"/>
    <n v="0"/>
    <n v="14.221495763206176"/>
  </r>
  <r>
    <s v="ORD10098"/>
    <x v="86"/>
    <s v="CUST1118"/>
    <s v="Patna"/>
    <x v="3"/>
    <x v="0"/>
    <x v="0"/>
    <x v="3"/>
    <n v="5"/>
    <n v="17009.009999999998"/>
    <n v="0.1"/>
    <x v="97"/>
    <n v="62576.08"/>
    <n v="13964.46"/>
    <n v="85045.049999999988"/>
    <n v="8504.5049999999992"/>
    <n v="18.244527671218417"/>
  </r>
  <r>
    <s v="ORD10099"/>
    <x v="62"/>
    <s v="CUST1038"/>
    <s v="Mumbai"/>
    <x v="4"/>
    <x v="8"/>
    <x v="1"/>
    <x v="0"/>
    <n v="7"/>
    <n v="3818.03"/>
    <n v="0.05"/>
    <x v="98"/>
    <n v="19808.91"/>
    <n v="5580.99"/>
    <n v="26726.210000000003"/>
    <n v="1336.3105000000003"/>
    <n v="21.981142107688491"/>
  </r>
  <r>
    <s v="ORD10100"/>
    <x v="87"/>
    <s v="CUST1010"/>
    <s v="Patna"/>
    <x v="3"/>
    <x v="8"/>
    <x v="1"/>
    <x v="0"/>
    <n v="3"/>
    <n v="4662.9399999999996"/>
    <n v="0"/>
    <x v="99"/>
    <n v="11698.03"/>
    <n v="2290.79"/>
    <n v="13988.82"/>
    <n v="0"/>
    <n v="16.375863010604181"/>
  </r>
  <r>
    <s v="ORD10101"/>
    <x v="88"/>
    <s v="CUST1073"/>
    <s v="Chennai"/>
    <x v="2"/>
    <x v="4"/>
    <x v="3"/>
    <x v="6"/>
    <n v="2"/>
    <n v="31117.69"/>
    <n v="0"/>
    <x v="100"/>
    <n v="57723.67"/>
    <n v="4511.71"/>
    <n v="62235.38"/>
    <n v="0"/>
    <n v="7.2494295045679804"/>
  </r>
  <r>
    <s v="ORD10102"/>
    <x v="89"/>
    <s v="CUST1062"/>
    <s v="Hyderabad"/>
    <x v="2"/>
    <x v="0"/>
    <x v="0"/>
    <x v="3"/>
    <n v="3"/>
    <n v="19728.14"/>
    <n v="0"/>
    <x v="101"/>
    <n v="43113.279999999999"/>
    <n v="16071.14"/>
    <n v="59184.42"/>
    <n v="0"/>
    <n v="27.15434230833047"/>
  </r>
  <r>
    <s v="ORD10103"/>
    <x v="90"/>
    <s v="CUST1001"/>
    <s v="Pune"/>
    <x v="4"/>
    <x v="1"/>
    <x v="1"/>
    <x v="7"/>
    <n v="1"/>
    <n v="3869.64"/>
    <n v="0"/>
    <x v="102"/>
    <n v="3098.42"/>
    <n v="771.22"/>
    <n v="3869.64"/>
    <n v="0"/>
    <n v="19.93001932996351"/>
  </r>
  <r>
    <s v="ORD10104"/>
    <x v="91"/>
    <s v="CUST1005"/>
    <s v="Kolkata"/>
    <x v="3"/>
    <x v="0"/>
    <x v="0"/>
    <x v="2"/>
    <n v="5"/>
    <n v="24386.76"/>
    <n v="0"/>
    <x v="103"/>
    <n v="100029.77"/>
    <n v="21904.03"/>
    <n v="121933.79999999999"/>
    <n v="0"/>
    <n v="17.963870559270685"/>
  </r>
  <r>
    <s v="ORD10105"/>
    <x v="92"/>
    <s v="CUST1039"/>
    <s v="Bengaluru"/>
    <x v="2"/>
    <x v="8"/>
    <x v="1"/>
    <x v="7"/>
    <n v="2"/>
    <n v="4614.92"/>
    <n v="0"/>
    <x v="104"/>
    <n v="7142.44"/>
    <n v="2087.4"/>
    <n v="9229.84"/>
    <n v="0"/>
    <n v="22.615776654849924"/>
  </r>
  <r>
    <s v="ORD10106"/>
    <x v="93"/>
    <s v="CUST1053"/>
    <s v="Ahmedabad"/>
    <x v="4"/>
    <x v="6"/>
    <x v="3"/>
    <x v="7"/>
    <n v="7"/>
    <n v="23034.31"/>
    <n v="0.05"/>
    <x v="105"/>
    <n v="134303.35"/>
    <n v="18874.810000000001"/>
    <n v="161240.17000000001"/>
    <n v="8062.0085000000008"/>
    <n v="12.322128689886339"/>
  </r>
  <r>
    <s v="ORD10107"/>
    <x v="94"/>
    <s v="CUST1042"/>
    <s v="Ahmedabad"/>
    <x v="4"/>
    <x v="7"/>
    <x v="0"/>
    <x v="7"/>
    <n v="6"/>
    <n v="6987.27"/>
    <n v="0"/>
    <x v="106"/>
    <n v="30702.1"/>
    <n v="11221.52"/>
    <n v="41923.620000000003"/>
    <n v="0"/>
    <n v="26.766581702629686"/>
  </r>
  <r>
    <s v="ORD10108"/>
    <x v="80"/>
    <s v="CUST1097"/>
    <s v="Patna"/>
    <x v="3"/>
    <x v="9"/>
    <x v="3"/>
    <x v="0"/>
    <n v="7"/>
    <n v="66338.44"/>
    <n v="0.05"/>
    <x v="107"/>
    <n v="361845.31"/>
    <n v="79305.320000000007"/>
    <n v="464369.08"/>
    <n v="23218.454000000002"/>
    <n v="17.976925477812422"/>
  </r>
  <r>
    <s v="ORD10109"/>
    <x v="28"/>
    <s v="CUST1038"/>
    <s v="Indore"/>
    <x v="0"/>
    <x v="6"/>
    <x v="3"/>
    <x v="0"/>
    <n v="5"/>
    <n v="27565.67"/>
    <n v="0.1"/>
    <x v="108"/>
    <n v="107397.59"/>
    <n v="16647.919999999998"/>
    <n v="137828.34999999998"/>
    <n v="13782.834999999999"/>
    <n v="13.420816279444537"/>
  </r>
  <r>
    <s v="ORD10110"/>
    <x v="95"/>
    <s v="CUST1005"/>
    <s v="Patna"/>
    <x v="3"/>
    <x v="8"/>
    <x v="1"/>
    <x v="0"/>
    <n v="4"/>
    <n v="6135.6"/>
    <n v="0"/>
    <x v="109"/>
    <n v="19053.53"/>
    <n v="5488.87"/>
    <n v="24542.400000000001"/>
    <n v="0"/>
    <n v="22.364846143816415"/>
  </r>
  <r>
    <s v="ORD10111"/>
    <x v="59"/>
    <s v="CUST1043"/>
    <s v="Indore"/>
    <x v="0"/>
    <x v="4"/>
    <x v="3"/>
    <x v="2"/>
    <n v="3"/>
    <n v="15610.15"/>
    <n v="0.05"/>
    <x v="110"/>
    <n v="39646.519999999997"/>
    <n v="4842.41"/>
    <n v="46830.45"/>
    <n v="2341.5225"/>
    <n v="10.884527903907781"/>
  </r>
  <r>
    <s v="ORD10112"/>
    <x v="96"/>
    <s v="CUST1046"/>
    <s v="Indore"/>
    <x v="0"/>
    <x v="2"/>
    <x v="1"/>
    <x v="2"/>
    <n v="6"/>
    <n v="4411.46"/>
    <n v="0"/>
    <x v="111"/>
    <n v="21295.69"/>
    <n v="5173.07"/>
    <n v="26468.760000000002"/>
    <n v="0"/>
    <n v="19.544058731878639"/>
  </r>
  <r>
    <s v="ORD10113"/>
    <x v="97"/>
    <s v="CUST1100"/>
    <s v="Kolkata"/>
    <x v="3"/>
    <x v="0"/>
    <x v="0"/>
    <x v="7"/>
    <n v="1"/>
    <n v="17623.66"/>
    <n v="0"/>
    <x v="112"/>
    <n v="13268.3"/>
    <n v="4355.3599999999997"/>
    <n v="17623.66"/>
    <n v="0"/>
    <n v="24.713141311169188"/>
  </r>
  <r>
    <s v="ORD10114"/>
    <x v="98"/>
    <s v="CUST1137"/>
    <s v="Jaipur"/>
    <x v="1"/>
    <x v="1"/>
    <x v="1"/>
    <x v="4"/>
    <n v="2"/>
    <n v="3770.4"/>
    <n v="0.1"/>
    <x v="113"/>
    <n v="5438.36"/>
    <n v="1348.36"/>
    <n v="7540.8"/>
    <n v="754.08"/>
    <n v="19.867623830068133"/>
  </r>
  <r>
    <s v="ORD10115"/>
    <x v="99"/>
    <s v="CUST1149"/>
    <s v="Kolkata"/>
    <x v="3"/>
    <x v="0"/>
    <x v="0"/>
    <x v="1"/>
    <n v="3"/>
    <n v="24649.23"/>
    <n v="0.05"/>
    <x v="114"/>
    <n v="58055.66"/>
    <n v="12194.65"/>
    <n v="73947.69"/>
    <n v="3697.3845000000001"/>
    <n v="17.35885578298516"/>
  </r>
  <r>
    <s v="ORD10116"/>
    <x v="100"/>
    <s v="CUST1143"/>
    <s v="Indore"/>
    <x v="0"/>
    <x v="6"/>
    <x v="3"/>
    <x v="0"/>
    <n v="1"/>
    <n v="30774.76"/>
    <n v="0.1"/>
    <x v="115"/>
    <n v="23490.51"/>
    <n v="4206.7700000000004"/>
    <n v="30774.76"/>
    <n v="3077.4760000000001"/>
    <n v="15.188386729671652"/>
  </r>
  <r>
    <s v="ORD10117"/>
    <x v="101"/>
    <s v="CUST1025"/>
    <s v="Bengaluru"/>
    <x v="2"/>
    <x v="8"/>
    <x v="1"/>
    <x v="1"/>
    <n v="2"/>
    <n v="9708.1299999999992"/>
    <n v="0"/>
    <x v="116"/>
    <n v="16081.29"/>
    <n v="3334.97"/>
    <n v="19416.259999999998"/>
    <n v="0"/>
    <n v="17.176170900060054"/>
  </r>
  <r>
    <s v="ORD10118"/>
    <x v="102"/>
    <s v="CUST1108"/>
    <s v="Nagpur"/>
    <x v="0"/>
    <x v="4"/>
    <x v="3"/>
    <x v="2"/>
    <n v="3"/>
    <n v="38285.01"/>
    <n v="0.05"/>
    <x v="117"/>
    <n v="98124.72"/>
    <n v="10987.56"/>
    <n v="114855.03"/>
    <n v="5742.7515000000003"/>
    <n v="10.069957295365837"/>
  </r>
  <r>
    <s v="ORD10119"/>
    <x v="15"/>
    <s v="CUST1029"/>
    <s v="Nagpur"/>
    <x v="0"/>
    <x v="0"/>
    <x v="0"/>
    <x v="5"/>
    <n v="4"/>
    <n v="19130.27"/>
    <n v="0"/>
    <x v="118"/>
    <n v="55877.11"/>
    <n v="20643.97"/>
    <n v="76521.08"/>
    <n v="0"/>
    <n v="26.978147720863323"/>
  </r>
  <r>
    <s v="ORD10120"/>
    <x v="83"/>
    <s v="CUST1148"/>
    <s v="Bengaluru"/>
    <x v="2"/>
    <x v="4"/>
    <x v="3"/>
    <x v="4"/>
    <n v="7"/>
    <n v="48176.87"/>
    <n v="0.15"/>
    <x v="119"/>
    <n v="257611.91"/>
    <n v="29040.47"/>
    <n v="337238.09"/>
    <n v="50585.713500000005"/>
    <n v="10.130901407481772"/>
  </r>
  <r>
    <s v="ORD10121"/>
    <x v="64"/>
    <s v="CUST1123"/>
    <s v="Kolkata"/>
    <x v="3"/>
    <x v="0"/>
    <x v="0"/>
    <x v="7"/>
    <n v="1"/>
    <n v="17546.099999999999"/>
    <n v="0"/>
    <x v="120"/>
    <n v="13902.16"/>
    <n v="3643.94"/>
    <n v="17546.099999999999"/>
    <n v="0"/>
    <n v="20.767805951180033"/>
  </r>
  <r>
    <s v="ORD10122"/>
    <x v="103"/>
    <s v="CUST1001"/>
    <s v="Bhubaneswar"/>
    <x v="3"/>
    <x v="9"/>
    <x v="3"/>
    <x v="4"/>
    <n v="6"/>
    <n v="46461.99"/>
    <n v="0.1"/>
    <x v="121"/>
    <n v="216084.27"/>
    <n v="34810.480000000003"/>
    <n v="278771.94"/>
    <n v="27877.194000000003"/>
    <n v="13.874535039095079"/>
  </r>
  <r>
    <s v="ORD10123"/>
    <x v="104"/>
    <s v="CUST1063"/>
    <s v="Pune"/>
    <x v="4"/>
    <x v="4"/>
    <x v="3"/>
    <x v="3"/>
    <n v="1"/>
    <n v="41722.79"/>
    <n v="0"/>
    <x v="122"/>
    <n v="37117.94"/>
    <n v="4604.8500000000004"/>
    <n v="41722.79"/>
    <n v="0"/>
    <n v="11.036773907018203"/>
  </r>
  <r>
    <s v="ORD10124"/>
    <x v="6"/>
    <s v="CUST1124"/>
    <s v="Kolkata"/>
    <x v="3"/>
    <x v="7"/>
    <x v="0"/>
    <x v="6"/>
    <n v="2"/>
    <n v="21083.96"/>
    <n v="0"/>
    <x v="123"/>
    <n v="31318.959999999999"/>
    <n v="10848.96"/>
    <n v="42167.92"/>
    <n v="0"/>
    <n v="25.727994171872837"/>
  </r>
  <r>
    <s v="ORD10125"/>
    <x v="105"/>
    <s v="CUST1072"/>
    <s v="Delhi"/>
    <x v="1"/>
    <x v="4"/>
    <x v="3"/>
    <x v="4"/>
    <n v="1"/>
    <n v="58349.69"/>
    <n v="0.05"/>
    <x v="124"/>
    <n v="50839.65"/>
    <n v="4592.5600000000004"/>
    <n v="58349.69"/>
    <n v="2917.4845000000005"/>
    <n v="8.285002528313413"/>
  </r>
  <r>
    <s v="ORD10126"/>
    <x v="106"/>
    <s v="CUST1035"/>
    <s v="Patna"/>
    <x v="3"/>
    <x v="1"/>
    <x v="1"/>
    <x v="7"/>
    <n v="1"/>
    <n v="1549.89"/>
    <n v="0.05"/>
    <x v="125"/>
    <n v="1113.57"/>
    <n v="358.83"/>
    <n v="1549.89"/>
    <n v="77.494500000000016"/>
    <n v="24.37041564792176"/>
  </r>
  <r>
    <s v="ORD10127"/>
    <x v="107"/>
    <s v="CUST1142"/>
    <s v="Bhubaneswar"/>
    <x v="3"/>
    <x v="0"/>
    <x v="0"/>
    <x v="5"/>
    <n v="4"/>
    <n v="23943.85"/>
    <n v="0.1"/>
    <x v="126"/>
    <n v="70946.89"/>
    <n v="15250.97"/>
    <n v="95775.4"/>
    <n v="9577.5399999999991"/>
    <n v="17.692979848919681"/>
  </r>
  <r>
    <s v="ORD10128"/>
    <x v="79"/>
    <s v="CUST1036"/>
    <s v="Bengaluru"/>
    <x v="2"/>
    <x v="7"/>
    <x v="0"/>
    <x v="0"/>
    <n v="5"/>
    <n v="17510.38"/>
    <n v="0"/>
    <x v="127"/>
    <n v="69886.36"/>
    <n v="17665.54"/>
    <n v="87551.900000000009"/>
    <n v="0"/>
    <n v="20.177220597154378"/>
  </r>
  <r>
    <s v="ORD10129"/>
    <x v="108"/>
    <s v="CUST1130"/>
    <s v="Pune"/>
    <x v="4"/>
    <x v="4"/>
    <x v="3"/>
    <x v="2"/>
    <n v="5"/>
    <n v="60531.199999999997"/>
    <n v="0"/>
    <x v="128"/>
    <n v="277430.19"/>
    <n v="25225.81"/>
    <n v="302656"/>
    <n v="0"/>
    <n v="8.3348124603510261"/>
  </r>
  <r>
    <s v="ORD10130"/>
    <x v="109"/>
    <s v="CUST1053"/>
    <s v="Chennai"/>
    <x v="2"/>
    <x v="8"/>
    <x v="1"/>
    <x v="3"/>
    <n v="6"/>
    <n v="7940.81"/>
    <n v="0.1"/>
    <x v="129"/>
    <n v="35712.550000000003"/>
    <n v="7167.82"/>
    <n v="47644.86"/>
    <n v="4764.4859999999999"/>
    <n v="16.715853897715899"/>
  </r>
  <r>
    <s v="ORD10131"/>
    <x v="11"/>
    <s v="CUST1115"/>
    <s v="Bengaluru"/>
    <x v="2"/>
    <x v="0"/>
    <x v="0"/>
    <x v="6"/>
    <n v="7"/>
    <n v="27692.71"/>
    <n v="0.1"/>
    <x v="130"/>
    <n v="137647.67999999999"/>
    <n v="36816.39"/>
    <n v="193848.97"/>
    <n v="19384.897000000001"/>
    <n v="21.102562837150366"/>
  </r>
  <r>
    <s v="ORD10132"/>
    <x v="93"/>
    <s v="CUST1004"/>
    <s v="Lucknow"/>
    <x v="1"/>
    <x v="0"/>
    <x v="0"/>
    <x v="1"/>
    <n v="1"/>
    <n v="21675.759999999998"/>
    <n v="0"/>
    <x v="131"/>
    <n v="17845.16"/>
    <n v="3830.6"/>
    <n v="21675.759999999998"/>
    <n v="0"/>
    <n v="17.672275389651851"/>
  </r>
  <r>
    <s v="ORD10133"/>
    <x v="16"/>
    <s v="CUST1042"/>
    <s v="Kolkata"/>
    <x v="3"/>
    <x v="4"/>
    <x v="3"/>
    <x v="3"/>
    <n v="3"/>
    <n v="28615.37"/>
    <n v="0.1"/>
    <x v="132"/>
    <n v="68942.789999999994"/>
    <n v="8318.7099999999991"/>
    <n v="85846.11"/>
    <n v="8584.6110000000008"/>
    <n v="10.766953786814906"/>
  </r>
  <r>
    <s v="ORD10134"/>
    <x v="110"/>
    <s v="CUST1117"/>
    <s v="Nagpur"/>
    <x v="0"/>
    <x v="4"/>
    <x v="3"/>
    <x v="1"/>
    <n v="1"/>
    <n v="42708.9"/>
    <n v="0.05"/>
    <x v="133"/>
    <n v="35509.15"/>
    <n v="5064.3100000000004"/>
    <n v="42708.9"/>
    <n v="2135.4450000000002"/>
    <n v="12.481829254887309"/>
  </r>
  <r>
    <s v="ORD10135"/>
    <x v="111"/>
    <s v="CUST1138"/>
    <s v="Lucknow"/>
    <x v="1"/>
    <x v="6"/>
    <x v="3"/>
    <x v="0"/>
    <n v="2"/>
    <n v="28036.799999999999"/>
    <n v="0.05"/>
    <x v="134"/>
    <n v="44400.28"/>
    <n v="8869.64"/>
    <n v="56073.599999999999"/>
    <n v="2803.6800000000003"/>
    <n v="16.65037229265597"/>
  </r>
  <r>
    <s v="ORD10136"/>
    <x v="112"/>
    <s v="CUST1115"/>
    <s v="Bengaluru"/>
    <x v="2"/>
    <x v="4"/>
    <x v="3"/>
    <x v="1"/>
    <n v="3"/>
    <n v="23314.17"/>
    <n v="0"/>
    <x v="135"/>
    <n v="65177.3"/>
    <n v="4765.21"/>
    <n v="69942.509999999995"/>
    <n v="0"/>
    <n v="6.8130383081762442"/>
  </r>
  <r>
    <s v="ORD10137"/>
    <x v="16"/>
    <s v="CUST1054"/>
    <s v="Bhopal"/>
    <x v="0"/>
    <x v="0"/>
    <x v="0"/>
    <x v="1"/>
    <n v="4"/>
    <n v="16181.06"/>
    <n v="0.05"/>
    <x v="136"/>
    <n v="49457.61"/>
    <n v="12030.42"/>
    <n v="64724.24"/>
    <n v="3236.212"/>
    <n v="19.565466644483486"/>
  </r>
  <r>
    <s v="ORD10138"/>
    <x v="4"/>
    <s v="CUST1148"/>
    <s v="Patna"/>
    <x v="3"/>
    <x v="0"/>
    <x v="0"/>
    <x v="2"/>
    <n v="5"/>
    <n v="26673.42"/>
    <n v="0.05"/>
    <x v="137"/>
    <n v="102323.25"/>
    <n v="24375.49"/>
    <n v="133367.09999999998"/>
    <n v="6668.3549999999996"/>
    <n v="19.238936393526881"/>
  </r>
  <r>
    <s v="ORD10139"/>
    <x v="113"/>
    <s v="CUST1073"/>
    <s v="Indore"/>
    <x v="0"/>
    <x v="9"/>
    <x v="3"/>
    <x v="6"/>
    <n v="5"/>
    <n v="64854.65"/>
    <n v="0"/>
    <x v="138"/>
    <n v="278118.38"/>
    <n v="46154.87"/>
    <n v="324273.25"/>
    <n v="0"/>
    <n v="14.23332636904216"/>
  </r>
  <r>
    <s v="ORD10140"/>
    <x v="32"/>
    <s v="CUST1108"/>
    <s v="Mumbai"/>
    <x v="4"/>
    <x v="3"/>
    <x v="2"/>
    <x v="3"/>
    <n v="2"/>
    <n v="22918.21"/>
    <n v="0.05"/>
    <x v="139"/>
    <n v="38793.360000000001"/>
    <n v="4751.24"/>
    <n v="45836.42"/>
    <n v="2291.8209999999999"/>
    <n v="10.91120368541679"/>
  </r>
  <r>
    <s v="ORD10141"/>
    <x v="114"/>
    <s v="CUST1074"/>
    <s v="Pune"/>
    <x v="4"/>
    <x v="5"/>
    <x v="3"/>
    <x v="6"/>
    <n v="3"/>
    <n v="20808.7"/>
    <n v="0.1"/>
    <x v="140"/>
    <n v="51558.82"/>
    <n v="4624.67"/>
    <n v="62426.100000000006"/>
    <n v="6242.6100000000006"/>
    <n v="8.2313683254635848"/>
  </r>
  <r>
    <s v="ORD10142"/>
    <x v="60"/>
    <s v="CUST1118"/>
    <s v="Bhubaneswar"/>
    <x v="3"/>
    <x v="0"/>
    <x v="0"/>
    <x v="7"/>
    <n v="7"/>
    <n v="22926.240000000002"/>
    <n v="0.1"/>
    <x v="141"/>
    <n v="109907.47"/>
    <n v="34527.839999999997"/>
    <n v="160483.68000000002"/>
    <n v="16048.368000000002"/>
    <n v="23.905400971549128"/>
  </r>
  <r>
    <s v="ORD10143"/>
    <x v="115"/>
    <s v="CUST1109"/>
    <s v="Jaipur"/>
    <x v="1"/>
    <x v="3"/>
    <x v="2"/>
    <x v="1"/>
    <n v="4"/>
    <n v="27680.73"/>
    <n v="0"/>
    <x v="142"/>
    <n v="86527.73"/>
    <n v="24195.19"/>
    <n v="110722.92"/>
    <n v="0"/>
    <n v="21.852015824727165"/>
  </r>
  <r>
    <s v="ORD10144"/>
    <x v="59"/>
    <s v="CUST1014"/>
    <s v="Bengaluru"/>
    <x v="2"/>
    <x v="7"/>
    <x v="0"/>
    <x v="8"/>
    <n v="2"/>
    <n v="21989.01"/>
    <n v="0.05"/>
    <x v="143"/>
    <n v="29669.08"/>
    <n v="12110.04"/>
    <n v="43978.02"/>
    <n v="2198.9009999999998"/>
    <n v="28.985866624285052"/>
  </r>
  <r>
    <s v="ORD10145"/>
    <x v="116"/>
    <s v="CUST1116"/>
    <s v="Delhi"/>
    <x v="1"/>
    <x v="3"/>
    <x v="2"/>
    <x v="5"/>
    <n v="2"/>
    <n v="10622.38"/>
    <n v="0"/>
    <x v="144"/>
    <n v="17092.66"/>
    <n v="4152.1000000000004"/>
    <n v="21244.76"/>
    <n v="0"/>
    <n v="19.544113466097055"/>
  </r>
  <r>
    <s v="ORD10146"/>
    <x v="0"/>
    <s v="CUST1108"/>
    <s v="Mumbai"/>
    <x v="4"/>
    <x v="0"/>
    <x v="0"/>
    <x v="5"/>
    <n v="4"/>
    <n v="11830.19"/>
    <n v="0.05"/>
    <x v="145"/>
    <n v="32987.78"/>
    <n v="11966.94"/>
    <n v="47320.76"/>
    <n v="2366.038"/>
    <n v="26.619985621087171"/>
  </r>
  <r>
    <s v="ORD10147"/>
    <x v="80"/>
    <s v="CUST1016"/>
    <s v="Jaipur"/>
    <x v="1"/>
    <x v="9"/>
    <x v="3"/>
    <x v="0"/>
    <n v="6"/>
    <n v="66536.06"/>
    <n v="0"/>
    <x v="146"/>
    <n v="342292.44"/>
    <n v="56923.92"/>
    <n v="399216.36"/>
    <n v="0"/>
    <n v="14.258914639670579"/>
  </r>
  <r>
    <s v="ORD10148"/>
    <x v="40"/>
    <s v="CUST1013"/>
    <s v="Bhubaneswar"/>
    <x v="3"/>
    <x v="4"/>
    <x v="3"/>
    <x v="0"/>
    <n v="2"/>
    <n v="16220.04"/>
    <n v="0.15"/>
    <x v="147"/>
    <n v="25919.040000000001"/>
    <n v="1655.03"/>
    <n v="32440.080000000002"/>
    <n v="4866.0119999999997"/>
    <n v="6.0021244596825927"/>
  </r>
  <r>
    <s v="ORD10149"/>
    <x v="117"/>
    <s v="CUST1016"/>
    <s v="Ahmedabad"/>
    <x v="4"/>
    <x v="7"/>
    <x v="0"/>
    <x v="7"/>
    <n v="5"/>
    <n v="5161.25"/>
    <n v="0.1"/>
    <x v="148"/>
    <n v="17924.8"/>
    <n v="5300.82"/>
    <n v="25806.25"/>
    <n v="2580.625"/>
    <n v="22.823158219242369"/>
  </r>
  <r>
    <s v="ORD10150"/>
    <x v="90"/>
    <s v="CUST1065"/>
    <s v="Patna"/>
    <x v="3"/>
    <x v="3"/>
    <x v="2"/>
    <x v="4"/>
    <n v="1"/>
    <n v="24438.560000000001"/>
    <n v="0"/>
    <x v="149"/>
    <n v="20462.349999999999"/>
    <n v="3976.21"/>
    <n v="24438.560000000001"/>
    <n v="0"/>
    <n v="16.270230324536307"/>
  </r>
  <r>
    <s v="ORD10151"/>
    <x v="118"/>
    <s v="CUST1073"/>
    <s v="Ahmedabad"/>
    <x v="4"/>
    <x v="0"/>
    <x v="0"/>
    <x v="5"/>
    <n v="4"/>
    <n v="13032.02"/>
    <n v="0.05"/>
    <x v="150"/>
    <n v="38097.370000000003"/>
    <n v="11424.31"/>
    <n v="52128.08"/>
    <n v="2606.4040000000005"/>
    <n v="23.069310249571501"/>
  </r>
  <r>
    <s v="ORD10152"/>
    <x v="119"/>
    <s v="CUST1063"/>
    <s v="Hyderabad"/>
    <x v="2"/>
    <x v="2"/>
    <x v="1"/>
    <x v="4"/>
    <n v="5"/>
    <n v="8282.91"/>
    <n v="0"/>
    <x v="151"/>
    <n v="33541.24"/>
    <n v="7873.31"/>
    <n v="41414.550000000003"/>
    <n v="0"/>
    <n v="19.010975611228421"/>
  </r>
  <r>
    <s v="ORD10153"/>
    <x v="120"/>
    <s v="CUST1093"/>
    <s v="Bhubaneswar"/>
    <x v="3"/>
    <x v="4"/>
    <x v="3"/>
    <x v="5"/>
    <n v="4"/>
    <n v="23351.7"/>
    <n v="0"/>
    <x v="152"/>
    <n v="84426.46"/>
    <n v="8980.34"/>
    <n v="93406.8"/>
    <n v="0"/>
    <n v="9.6142250885374505"/>
  </r>
  <r>
    <s v="ORD10154"/>
    <x v="121"/>
    <s v="CUST1003"/>
    <s v="Kolkata"/>
    <x v="3"/>
    <x v="2"/>
    <x v="1"/>
    <x v="7"/>
    <n v="1"/>
    <n v="1899.04"/>
    <n v="0"/>
    <x v="153"/>
    <n v="1590.69"/>
    <n v="308.35000000000002"/>
    <n v="1899.04"/>
    <n v="0"/>
    <n v="16.237151402814053"/>
  </r>
  <r>
    <s v="ORD10155"/>
    <x v="122"/>
    <s v="CUST1122"/>
    <s v="Bhopal"/>
    <x v="0"/>
    <x v="1"/>
    <x v="1"/>
    <x v="6"/>
    <n v="7"/>
    <n v="3445.07"/>
    <n v="0.1"/>
    <x v="154"/>
    <n v="15830.68"/>
    <n v="5873.26"/>
    <n v="24115.49"/>
    <n v="2411.5490000000004"/>
    <n v="27.060800942133088"/>
  </r>
  <r>
    <s v="ORD10156"/>
    <x v="75"/>
    <s v="CUST1013"/>
    <s v="Hyderabad"/>
    <x v="2"/>
    <x v="2"/>
    <x v="1"/>
    <x v="7"/>
    <n v="2"/>
    <n v="5879.61"/>
    <n v="0.05"/>
    <x v="155"/>
    <n v="9400.98"/>
    <n v="1770.28"/>
    <n v="11759.22"/>
    <n v="587.96100000000001"/>
    <n v="15.846735283217829"/>
  </r>
  <r>
    <s v="ORD10157"/>
    <x v="5"/>
    <s v="CUST1123"/>
    <s v="Lucknow"/>
    <x v="1"/>
    <x v="8"/>
    <x v="1"/>
    <x v="3"/>
    <n v="2"/>
    <n v="7464.93"/>
    <n v="0.05"/>
    <x v="156"/>
    <n v="11760.11"/>
    <n v="2423.2600000000002"/>
    <n v="14929.86"/>
    <n v="746.49300000000005"/>
    <n v="17.085220226222685"/>
  </r>
  <r>
    <s v="ORD10158"/>
    <x v="16"/>
    <s v="CUST1025"/>
    <s v="Lucknow"/>
    <x v="1"/>
    <x v="5"/>
    <x v="3"/>
    <x v="0"/>
    <n v="4"/>
    <n v="38758.239999999998"/>
    <n v="0"/>
    <x v="157"/>
    <n v="139589.41"/>
    <n v="15443.55"/>
    <n v="155032.95999999999"/>
    <n v="0"/>
    <n v="9.9614623883850246"/>
  </r>
  <r>
    <s v="ORD10159"/>
    <x v="123"/>
    <s v="CUST1037"/>
    <s v="Jaipur"/>
    <x v="1"/>
    <x v="6"/>
    <x v="3"/>
    <x v="3"/>
    <n v="5"/>
    <n v="15753.6"/>
    <n v="0"/>
    <x v="158"/>
    <n v="66696"/>
    <n v="12072"/>
    <n v="78768"/>
    <n v="0"/>
    <n v="15.326020719073735"/>
  </r>
  <r>
    <s v="ORD10160"/>
    <x v="124"/>
    <s v="CUST1093"/>
    <s v="Kolkata"/>
    <x v="3"/>
    <x v="1"/>
    <x v="1"/>
    <x v="2"/>
    <n v="2"/>
    <n v="4964.2"/>
    <n v="0.05"/>
    <x v="159"/>
    <n v="7427.91"/>
    <n v="2004.07"/>
    <n v="9928.4"/>
    <n v="496.42"/>
    <n v="21.247606547087674"/>
  </r>
  <r>
    <s v="ORD10161"/>
    <x v="61"/>
    <s v="CUST1147"/>
    <s v="Ahmedabad"/>
    <x v="4"/>
    <x v="0"/>
    <x v="0"/>
    <x v="7"/>
    <n v="3"/>
    <n v="20904.349999999999"/>
    <n v="0.1"/>
    <x v="160"/>
    <n v="42440.28"/>
    <n v="14001.46"/>
    <n v="62713.049999999996"/>
    <n v="6271.3050000000003"/>
    <n v="24.806924804231762"/>
  </r>
  <r>
    <s v="ORD10162"/>
    <x v="125"/>
    <s v="CUST1100"/>
    <s v="Chennai"/>
    <x v="2"/>
    <x v="9"/>
    <x v="3"/>
    <x v="5"/>
    <n v="1"/>
    <n v="51293.63"/>
    <n v="0"/>
    <x v="161"/>
    <n v="45965.81"/>
    <n v="5327.82"/>
    <n v="51293.63"/>
    <n v="0"/>
    <n v="10.386903792927114"/>
  </r>
  <r>
    <s v="ORD10163"/>
    <x v="126"/>
    <s v="CUST1023"/>
    <s v="Nagpur"/>
    <x v="0"/>
    <x v="7"/>
    <x v="0"/>
    <x v="1"/>
    <n v="5"/>
    <n v="19987.830000000002"/>
    <n v="0.1"/>
    <x v="162"/>
    <n v="73439.42"/>
    <n v="16505.82"/>
    <n v="99939.150000000009"/>
    <n v="9993.9150000000009"/>
    <n v="18.35096554303485"/>
  </r>
  <r>
    <s v="ORD10164"/>
    <x v="46"/>
    <s v="CUST1077"/>
    <s v="Hyderabad"/>
    <x v="2"/>
    <x v="1"/>
    <x v="1"/>
    <x v="0"/>
    <n v="7"/>
    <n v="3922.73"/>
    <n v="0"/>
    <x v="163"/>
    <n v="21354.85"/>
    <n v="6104.26"/>
    <n v="27459.11"/>
    <n v="0"/>
    <n v="22.230363620670882"/>
  </r>
  <r>
    <s v="ORD10165"/>
    <x v="60"/>
    <s v="CUST1104"/>
    <s v="Delhi"/>
    <x v="1"/>
    <x v="4"/>
    <x v="3"/>
    <x v="5"/>
    <n v="6"/>
    <n v="29351.91"/>
    <n v="0"/>
    <x v="164"/>
    <n v="156671.22"/>
    <n v="19440.240000000002"/>
    <n v="176111.46"/>
    <n v="0"/>
    <n v="11.038600213750998"/>
  </r>
  <r>
    <s v="ORD10166"/>
    <x v="108"/>
    <s v="CUST1063"/>
    <s v="Jaipur"/>
    <x v="1"/>
    <x v="5"/>
    <x v="3"/>
    <x v="3"/>
    <n v="3"/>
    <n v="15596.56"/>
    <n v="0.1"/>
    <x v="165"/>
    <n v="37111.58"/>
    <n v="4999.13"/>
    <n v="46789.68"/>
    <n v="4678.9679999999998"/>
    <n v="11.871398036271533"/>
  </r>
  <r>
    <s v="ORD10167"/>
    <x v="91"/>
    <s v="CUST1068"/>
    <s v="Patna"/>
    <x v="3"/>
    <x v="1"/>
    <x v="1"/>
    <x v="2"/>
    <n v="4"/>
    <n v="1230.54"/>
    <n v="0"/>
    <x v="166"/>
    <n v="3690.58"/>
    <n v="1231.58"/>
    <n v="4922.16"/>
    <n v="0"/>
    <n v="25.021128935264191"/>
  </r>
  <r>
    <s v="ORD10168"/>
    <x v="2"/>
    <s v="CUST1050"/>
    <s v="Mumbai"/>
    <x v="4"/>
    <x v="6"/>
    <x v="3"/>
    <x v="4"/>
    <n v="6"/>
    <n v="27422.87"/>
    <n v="0"/>
    <x v="167"/>
    <n v="137867.13"/>
    <n v="26670.09"/>
    <n v="164537.22"/>
    <n v="0"/>
    <n v="16.209153163035086"/>
  </r>
  <r>
    <s v="ORD10169"/>
    <x v="2"/>
    <s v="CUST1139"/>
    <s v="Patna"/>
    <x v="3"/>
    <x v="8"/>
    <x v="1"/>
    <x v="6"/>
    <n v="4"/>
    <n v="8193.7999999999993"/>
    <n v="0.1"/>
    <x v="168"/>
    <n v="25863.67"/>
    <n v="3634.01"/>
    <n v="32775.199999999997"/>
    <n v="3277.52"/>
    <n v="12.31964683324248"/>
  </r>
  <r>
    <s v="ORD10170"/>
    <x v="17"/>
    <s v="CUST1029"/>
    <s v="Patna"/>
    <x v="3"/>
    <x v="5"/>
    <x v="3"/>
    <x v="3"/>
    <n v="7"/>
    <n v="19070.240000000002"/>
    <n v="0"/>
    <x v="169"/>
    <n v="120859.84"/>
    <n v="12631.84"/>
    <n v="133491.68000000002"/>
    <n v="0"/>
    <n v="9.4626421661634659"/>
  </r>
  <r>
    <s v="ORD10171"/>
    <x v="127"/>
    <s v="CUST1032"/>
    <s v="Kolkata"/>
    <x v="3"/>
    <x v="3"/>
    <x v="2"/>
    <x v="1"/>
    <n v="7"/>
    <n v="9926.9699999999993"/>
    <n v="0.1"/>
    <x v="170"/>
    <n v="54046.68"/>
    <n v="8493.23"/>
    <n v="69488.789999999994"/>
    <n v="6948.8789999999999"/>
    <n v="13.580496038449684"/>
  </r>
  <r>
    <s v="ORD10172"/>
    <x v="104"/>
    <s v="CUST1092"/>
    <s v="Bhubaneswar"/>
    <x v="3"/>
    <x v="8"/>
    <x v="1"/>
    <x v="0"/>
    <n v="3"/>
    <n v="8268.7199999999993"/>
    <n v="0.1"/>
    <x v="171"/>
    <n v="16850.849999999999"/>
    <n v="5474.69"/>
    <n v="24806.159999999996"/>
    <n v="2480.616"/>
    <n v="24.522094426383411"/>
  </r>
  <r>
    <s v="ORD10173"/>
    <x v="128"/>
    <s v="CUST1001"/>
    <s v="Patna"/>
    <x v="3"/>
    <x v="1"/>
    <x v="1"/>
    <x v="1"/>
    <n v="6"/>
    <n v="3481.81"/>
    <n v="0.1"/>
    <x v="172"/>
    <n v="14900.42"/>
    <n v="3901.35"/>
    <n v="20890.86"/>
    <n v="2089.0860000000002"/>
    <n v="20.749908120352497"/>
  </r>
  <r>
    <s v="ORD10174"/>
    <x v="80"/>
    <s v="CUST1027"/>
    <s v="Pune"/>
    <x v="4"/>
    <x v="5"/>
    <x v="3"/>
    <x v="7"/>
    <n v="1"/>
    <n v="12871.75"/>
    <n v="0.05"/>
    <x v="173"/>
    <n v="10752.86"/>
    <n v="1475.3"/>
    <n v="12871.75"/>
    <n v="643.58750000000009"/>
    <n v="12.064775076544631"/>
  </r>
  <r>
    <s v="ORD10175"/>
    <x v="91"/>
    <s v="CUST1050"/>
    <s v="Bhubaneswar"/>
    <x v="3"/>
    <x v="3"/>
    <x v="2"/>
    <x v="3"/>
    <n v="5"/>
    <n v="26846.959999999999"/>
    <n v="0"/>
    <x v="174"/>
    <n v="113503.14"/>
    <n v="20731.66"/>
    <n v="134234.79999999999"/>
    <n v="0"/>
    <n v="15.444325912505551"/>
  </r>
  <r>
    <s v="ORD10176"/>
    <x v="129"/>
    <s v="CUST1017"/>
    <s v="Ahmedabad"/>
    <x v="4"/>
    <x v="1"/>
    <x v="1"/>
    <x v="4"/>
    <n v="2"/>
    <n v="4629.71"/>
    <n v="0.05"/>
    <x v="175"/>
    <n v="6566.11"/>
    <n v="2230.34"/>
    <n v="9259.42"/>
    <n v="462.971"/>
    <n v="25.355001165242797"/>
  </r>
  <r>
    <s v="ORD10177"/>
    <x v="90"/>
    <s v="CUST1117"/>
    <s v="Indore"/>
    <x v="0"/>
    <x v="8"/>
    <x v="1"/>
    <x v="1"/>
    <n v="1"/>
    <n v="7230.86"/>
    <n v="0"/>
    <x v="176"/>
    <n v="5750.72"/>
    <n v="1480.14"/>
    <n v="7230.86"/>
    <n v="0"/>
    <n v="20.46976431572455"/>
  </r>
  <r>
    <s v="ORD10178"/>
    <x v="130"/>
    <s v="CUST1095"/>
    <s v="Hyderabad"/>
    <x v="2"/>
    <x v="9"/>
    <x v="3"/>
    <x v="4"/>
    <n v="2"/>
    <n v="45464.82"/>
    <n v="0.05"/>
    <x v="177"/>
    <n v="76055.66"/>
    <n v="10327.5"/>
    <n v="90929.64"/>
    <n v="4546.482"/>
    <n v="11.955455206778728"/>
  </r>
  <r>
    <s v="ORD10179"/>
    <x v="131"/>
    <s v="CUST1088"/>
    <s v="Hyderabad"/>
    <x v="2"/>
    <x v="3"/>
    <x v="2"/>
    <x v="6"/>
    <n v="6"/>
    <n v="26642.94"/>
    <n v="0.1"/>
    <x v="178"/>
    <n v="116980.18"/>
    <n v="26891.7"/>
    <n v="159857.63999999998"/>
    <n v="15985.763999999999"/>
    <n v="18.691421840042683"/>
  </r>
  <r>
    <s v="ORD10180"/>
    <x v="44"/>
    <s v="CUST1097"/>
    <s v="Lucknow"/>
    <x v="1"/>
    <x v="6"/>
    <x v="3"/>
    <x v="1"/>
    <n v="4"/>
    <n v="25072.05"/>
    <n v="0"/>
    <x v="179"/>
    <n v="82478.97"/>
    <n v="17809.23"/>
    <n v="100288.2"/>
    <n v="0"/>
    <n v="17.758051296164453"/>
  </r>
  <r>
    <s v="ORD10181"/>
    <x v="132"/>
    <s v="CUST1103"/>
    <s v="Mumbai"/>
    <x v="4"/>
    <x v="3"/>
    <x v="2"/>
    <x v="1"/>
    <n v="1"/>
    <n v="14415.05"/>
    <n v="0.1"/>
    <x v="180"/>
    <n v="11119.15"/>
    <n v="1854.39"/>
    <n v="14415.05"/>
    <n v="1441.5050000000001"/>
    <n v="14.293631499189891"/>
  </r>
  <r>
    <s v="ORD10182"/>
    <x v="133"/>
    <s v="CUST1049"/>
    <s v="Delhi"/>
    <x v="1"/>
    <x v="2"/>
    <x v="1"/>
    <x v="7"/>
    <n v="2"/>
    <n v="7360.45"/>
    <n v="0.1"/>
    <x v="181"/>
    <n v="11328.5"/>
    <n v="1920.31"/>
    <n v="14720.9"/>
    <n v="1472.0900000000001"/>
    <n v="14.494207404287632"/>
  </r>
  <r>
    <s v="ORD10183"/>
    <x v="134"/>
    <s v="CUST1008"/>
    <s v="Nagpur"/>
    <x v="0"/>
    <x v="3"/>
    <x v="2"/>
    <x v="7"/>
    <n v="7"/>
    <n v="28469.09"/>
    <n v="0.05"/>
    <x v="182"/>
    <n v="163598.45000000001"/>
    <n v="25721"/>
    <n v="199283.63"/>
    <n v="9964.1815000000006"/>
    <n v="13.586031440509677"/>
  </r>
  <r>
    <s v="ORD10184"/>
    <x v="135"/>
    <s v="CUST1132"/>
    <s v="Chennai"/>
    <x v="2"/>
    <x v="8"/>
    <x v="1"/>
    <x v="4"/>
    <n v="3"/>
    <n v="4866.0600000000004"/>
    <n v="0.05"/>
    <x v="183"/>
    <n v="11012.7"/>
    <n v="2855.57"/>
    <n v="14598.18"/>
    <n v="729.90900000000011"/>
    <n v="20.590672088155195"/>
  </r>
  <r>
    <s v="ORD10185"/>
    <x v="136"/>
    <s v="CUST1012"/>
    <s v="Bengaluru"/>
    <x v="2"/>
    <x v="5"/>
    <x v="3"/>
    <x v="5"/>
    <n v="4"/>
    <n v="13141.11"/>
    <n v="0.05"/>
    <x v="184"/>
    <n v="46073.82"/>
    <n v="3862.4"/>
    <n v="52564.44"/>
    <n v="2628.2220000000002"/>
    <n v="7.734666340383793"/>
  </r>
  <r>
    <s v="ORD10186"/>
    <x v="60"/>
    <s v="CUST1136"/>
    <s v="Kolkata"/>
    <x v="3"/>
    <x v="3"/>
    <x v="2"/>
    <x v="0"/>
    <n v="2"/>
    <n v="26922.81"/>
    <n v="0"/>
    <x v="185"/>
    <n v="45422.99"/>
    <n v="8422.6299999999992"/>
    <n v="53845.62"/>
    <n v="0"/>
    <n v="15.642182223920903"/>
  </r>
  <r>
    <s v="ORD10187"/>
    <x v="109"/>
    <s v="CUST1150"/>
    <s v="Bhopal"/>
    <x v="0"/>
    <x v="7"/>
    <x v="0"/>
    <x v="0"/>
    <n v="4"/>
    <n v="5742.25"/>
    <n v="0.05"/>
    <x v="186"/>
    <n v="16009.65"/>
    <n v="5810.9"/>
    <n v="22969"/>
    <n v="1148.45"/>
    <n v="26.630401158540916"/>
  </r>
  <r>
    <s v="ORD10188"/>
    <x v="3"/>
    <s v="CUST1097"/>
    <s v="Ahmedabad"/>
    <x v="4"/>
    <x v="2"/>
    <x v="1"/>
    <x v="5"/>
    <n v="5"/>
    <n v="4927.72"/>
    <n v="0"/>
    <x v="187"/>
    <n v="21098.57"/>
    <n v="3540.03"/>
    <n v="24638.600000000002"/>
    <n v="0"/>
    <n v="14.367821223608484"/>
  </r>
  <r>
    <s v="ORD10189"/>
    <x v="137"/>
    <s v="CUST1126"/>
    <s v="Patna"/>
    <x v="3"/>
    <x v="2"/>
    <x v="1"/>
    <x v="3"/>
    <n v="4"/>
    <n v="7813.01"/>
    <n v="0.05"/>
    <x v="188"/>
    <n v="22913.06"/>
    <n v="6776.38"/>
    <n v="31252.04"/>
    <n v="1562.6020000000001"/>
    <n v="22.824209550601157"/>
  </r>
  <r>
    <s v="ORD10190"/>
    <x v="84"/>
    <s v="CUST1066"/>
    <s v="Pune"/>
    <x v="4"/>
    <x v="9"/>
    <x v="3"/>
    <x v="5"/>
    <n v="1"/>
    <n v="65559.83"/>
    <n v="0"/>
    <x v="189"/>
    <n v="55560.27"/>
    <n v="9999.56"/>
    <n v="65559.83"/>
    <n v="0"/>
    <n v="15.252571582324116"/>
  </r>
  <r>
    <s v="ORD10191"/>
    <x v="122"/>
    <s v="CUST1018"/>
    <s v="Delhi"/>
    <x v="1"/>
    <x v="2"/>
    <x v="1"/>
    <x v="7"/>
    <n v="2"/>
    <n v="9933.1299999999992"/>
    <n v="0.1"/>
    <x v="190"/>
    <n v="14924.49"/>
    <n v="2955.14"/>
    <n v="19866.259999999998"/>
    <n v="1986.626"/>
    <n v="16.527970657110913"/>
  </r>
  <r>
    <s v="ORD10192"/>
    <x v="128"/>
    <s v="CUST1014"/>
    <s v="Patna"/>
    <x v="3"/>
    <x v="9"/>
    <x v="3"/>
    <x v="4"/>
    <n v="4"/>
    <n v="50262.71"/>
    <n v="0.1"/>
    <x v="191"/>
    <n v="163218.81"/>
    <n v="17726.95"/>
    <n v="201050.84"/>
    <n v="20105.084000000003"/>
    <n v="9.79683082930487"/>
  </r>
  <r>
    <s v="ORD10193"/>
    <x v="138"/>
    <s v="CUST1125"/>
    <s v="Delhi"/>
    <x v="1"/>
    <x v="1"/>
    <x v="1"/>
    <x v="5"/>
    <n v="5"/>
    <n v="4388.42"/>
    <n v="0"/>
    <x v="192"/>
    <n v="18372.97"/>
    <n v="3569.13"/>
    <n v="21942.1"/>
    <n v="0"/>
    <n v="16.266127672374115"/>
  </r>
  <r>
    <s v="ORD10194"/>
    <x v="93"/>
    <s v="CUST1089"/>
    <s v="Jaipur"/>
    <x v="1"/>
    <x v="7"/>
    <x v="0"/>
    <x v="6"/>
    <n v="2"/>
    <n v="11106.97"/>
    <n v="0"/>
    <x v="193"/>
    <n v="16477.080000000002"/>
    <n v="5736.86"/>
    <n v="22213.94"/>
    <n v="0"/>
    <n v="25.825495162046895"/>
  </r>
  <r>
    <s v="ORD10195"/>
    <x v="139"/>
    <s v="CUST1045"/>
    <s v="Pune"/>
    <x v="4"/>
    <x v="5"/>
    <x v="3"/>
    <x v="5"/>
    <n v="7"/>
    <n v="30388.63"/>
    <n v="0.05"/>
    <x v="194"/>
    <n v="177049.32"/>
    <n v="25035.07"/>
    <n v="212720.41"/>
    <n v="10636.020500000001"/>
    <n v="12.388423470016658"/>
  </r>
  <r>
    <s v="ORD10196"/>
    <x v="140"/>
    <s v="CUST1105"/>
    <s v="Ahmedabad"/>
    <x v="4"/>
    <x v="6"/>
    <x v="3"/>
    <x v="6"/>
    <n v="2"/>
    <n v="13413.71"/>
    <n v="0"/>
    <x v="195"/>
    <n v="22348.880000000001"/>
    <n v="4478.54"/>
    <n v="26827.42"/>
    <n v="0"/>
    <n v="16.693890057262308"/>
  </r>
  <r>
    <s v="ORD10197"/>
    <x v="98"/>
    <s v="CUST1028"/>
    <s v="Indore"/>
    <x v="0"/>
    <x v="0"/>
    <x v="0"/>
    <x v="6"/>
    <n v="1"/>
    <n v="19960.04"/>
    <n v="0"/>
    <x v="196"/>
    <n v="15905.95"/>
    <n v="4054.09"/>
    <n v="19960.04"/>
    <n v="0"/>
    <n v="20.311031440818756"/>
  </r>
  <r>
    <s v="ORD10198"/>
    <x v="141"/>
    <s v="CUST1111"/>
    <s v="Bhopal"/>
    <x v="0"/>
    <x v="1"/>
    <x v="1"/>
    <x v="5"/>
    <n v="1"/>
    <n v="3040.75"/>
    <n v="0.1"/>
    <x v="197"/>
    <n v="2039.55"/>
    <n v="697.13"/>
    <n v="3040.75"/>
    <n v="304.07499999999999"/>
    <n v="25.47356651124721"/>
  </r>
  <r>
    <s v="ORD10199"/>
    <x v="40"/>
    <s v="CUST1026"/>
    <s v="Hyderabad"/>
    <x v="2"/>
    <x v="8"/>
    <x v="1"/>
    <x v="0"/>
    <n v="2"/>
    <n v="4113.3"/>
    <n v="0"/>
    <x v="198"/>
    <n v="6992.22"/>
    <n v="1234.3800000000001"/>
    <n v="8226.6"/>
    <n v="0"/>
    <n v="15.004740719130627"/>
  </r>
  <r>
    <s v="ORD10200"/>
    <x v="76"/>
    <s v="CUST1012"/>
    <s v="Delhi"/>
    <x v="1"/>
    <x v="5"/>
    <x v="3"/>
    <x v="1"/>
    <n v="5"/>
    <n v="24661.57"/>
    <n v="0"/>
    <x v="199"/>
    <n v="113529.81"/>
    <n v="9778.0400000000009"/>
    <n v="123307.85"/>
    <n v="0"/>
    <n v="7.9297790043375187"/>
  </r>
  <r>
    <s v="ORD10201"/>
    <x v="142"/>
    <s v="CUST1039"/>
    <s v="Pune"/>
    <x v="4"/>
    <x v="0"/>
    <x v="0"/>
    <x v="5"/>
    <n v="6"/>
    <n v="21405.32"/>
    <n v="0.15"/>
    <x v="200"/>
    <n v="83327.88"/>
    <n v="25839.25"/>
    <n v="128431.92"/>
    <n v="19264.788"/>
    <n v="23.669441525118412"/>
  </r>
  <r>
    <s v="ORD10202"/>
    <x v="143"/>
    <s v="CUST1045"/>
    <s v="Patna"/>
    <x v="3"/>
    <x v="4"/>
    <x v="3"/>
    <x v="3"/>
    <n v="6"/>
    <n v="32132.67"/>
    <n v="0"/>
    <x v="201"/>
    <n v="180708.17"/>
    <n v="12087.85"/>
    <n v="192796.02"/>
    <n v="0"/>
    <n v="6.2697611703810079"/>
  </r>
  <r>
    <s v="ORD10203"/>
    <x v="144"/>
    <s v="CUST1096"/>
    <s v="Chennai"/>
    <x v="2"/>
    <x v="7"/>
    <x v="0"/>
    <x v="4"/>
    <n v="5"/>
    <n v="7760.49"/>
    <n v="0"/>
    <x v="202"/>
    <n v="28686.18"/>
    <n v="10116.27"/>
    <n v="38802.449999999997"/>
    <n v="0"/>
    <n v="26.071214575368312"/>
  </r>
  <r>
    <s v="ORD10204"/>
    <x v="14"/>
    <s v="CUST1114"/>
    <s v="Patna"/>
    <x v="3"/>
    <x v="6"/>
    <x v="3"/>
    <x v="1"/>
    <n v="1"/>
    <n v="15637.97"/>
    <n v="0.1"/>
    <x v="203"/>
    <n v="11337.29"/>
    <n v="2736.88"/>
    <n v="15637.97"/>
    <n v="1563.797"/>
    <n v="19.446120090918328"/>
  </r>
  <r>
    <s v="ORD10205"/>
    <x v="55"/>
    <s v="CUST1046"/>
    <s v="Bengaluru"/>
    <x v="2"/>
    <x v="0"/>
    <x v="0"/>
    <x v="3"/>
    <n v="1"/>
    <n v="25156.79"/>
    <n v="0"/>
    <x v="204"/>
    <n v="18321.34"/>
    <n v="6835.45"/>
    <n v="25156.79"/>
    <n v="0"/>
    <n v="27.171391898568931"/>
  </r>
  <r>
    <s v="ORD10206"/>
    <x v="76"/>
    <s v="CUST1063"/>
    <s v="Ahmedabad"/>
    <x v="4"/>
    <x v="1"/>
    <x v="1"/>
    <x v="6"/>
    <n v="1"/>
    <n v="3601.28"/>
    <n v="0"/>
    <x v="205"/>
    <n v="2753.11"/>
    <n v="848.17"/>
    <n v="3601.28"/>
    <n v="0"/>
    <n v="23.551903767549312"/>
  </r>
  <r>
    <s v="ORD10207"/>
    <x v="145"/>
    <s v="CUST1068"/>
    <s v="Lucknow"/>
    <x v="1"/>
    <x v="3"/>
    <x v="2"/>
    <x v="1"/>
    <n v="1"/>
    <n v="26898.080000000002"/>
    <n v="0"/>
    <x v="206"/>
    <n v="23276.46"/>
    <n v="3621.62"/>
    <n v="26898.080000000002"/>
    <n v="0"/>
    <n v="13.464232391308226"/>
  </r>
  <r>
    <s v="ORD10208"/>
    <x v="114"/>
    <s v="CUST1023"/>
    <s v="Bhubaneswar"/>
    <x v="3"/>
    <x v="8"/>
    <x v="1"/>
    <x v="2"/>
    <n v="6"/>
    <n v="8410.01"/>
    <n v="0.1"/>
    <x v="207"/>
    <n v="34781.449999999997"/>
    <n v="10632.6"/>
    <n v="50460.06"/>
    <n v="5046.0060000000003"/>
    <n v="23.412578265977157"/>
  </r>
  <r>
    <s v="ORD10209"/>
    <x v="42"/>
    <s v="CUST1143"/>
    <s v="Jaipur"/>
    <x v="1"/>
    <x v="6"/>
    <x v="3"/>
    <x v="0"/>
    <n v="5"/>
    <n v="25875.94"/>
    <n v="0"/>
    <x v="208"/>
    <n v="111700.46"/>
    <n v="17679.240000000002"/>
    <n v="129379.7"/>
    <n v="0"/>
    <n v="13.66461662842007"/>
  </r>
  <r>
    <s v="ORD10210"/>
    <x v="146"/>
    <s v="CUST1011"/>
    <s v="Lucknow"/>
    <x v="1"/>
    <x v="9"/>
    <x v="3"/>
    <x v="2"/>
    <n v="1"/>
    <n v="54501.77"/>
    <n v="0"/>
    <x v="209"/>
    <n v="50061.69"/>
    <n v="4440.08"/>
    <n v="54501.77"/>
    <n v="0"/>
    <n v="8.1466711998527757"/>
  </r>
  <r>
    <s v="ORD10211"/>
    <x v="100"/>
    <s v="CUST1048"/>
    <s v="Bhubaneswar"/>
    <x v="3"/>
    <x v="2"/>
    <x v="1"/>
    <x v="1"/>
    <n v="1"/>
    <n v="7954.43"/>
    <n v="0"/>
    <x v="210"/>
    <n v="6016.73"/>
    <n v="1937.7"/>
    <n v="7954.43"/>
    <n v="0"/>
    <n v="24.360010711012606"/>
  </r>
  <r>
    <s v="ORD10212"/>
    <x v="116"/>
    <s v="CUST1044"/>
    <s v="Kolkata"/>
    <x v="3"/>
    <x v="2"/>
    <x v="1"/>
    <x v="3"/>
    <n v="5"/>
    <n v="2425.81"/>
    <m/>
    <x v="211"/>
    <n v="9586.5499999999993"/>
    <n v="2542.5"/>
    <n v="12129.05"/>
    <n v="0"/>
    <n v="20.962070401226807"/>
  </r>
  <r>
    <s v="ORD10213"/>
    <x v="8"/>
    <s v="CUST1021"/>
    <s v="Hyderabad"/>
    <x v="2"/>
    <x v="7"/>
    <x v="0"/>
    <x v="5"/>
    <n v="2"/>
    <n v="18820.759999999998"/>
    <n v="0.05"/>
    <x v="212"/>
    <n v="27086.06"/>
    <n v="8673.3799999999992"/>
    <n v="37641.519999999997"/>
    <n v="1882.076"/>
    <n v="24.254798173573182"/>
  </r>
  <r>
    <s v="ORD10214"/>
    <x v="141"/>
    <s v="CUST1068"/>
    <s v="Delhi"/>
    <x v="1"/>
    <x v="1"/>
    <x v="1"/>
    <x v="0"/>
    <n v="1"/>
    <n v="4571.7299999999996"/>
    <n v="0.05"/>
    <x v="213"/>
    <n v="3477.08"/>
    <n v="866.06"/>
    <n v="4571.7299999999996"/>
    <n v="228.5865"/>
    <n v="19.940872272134904"/>
  </r>
  <r>
    <s v="ORD10215"/>
    <x v="54"/>
    <s v="CUST1027"/>
    <s v="Nagpur"/>
    <x v="0"/>
    <x v="5"/>
    <x v="3"/>
    <x v="0"/>
    <n v="5"/>
    <n v="14839.78"/>
    <n v="0.05"/>
    <x v="214"/>
    <n v="62236.28"/>
    <n v="8252.68"/>
    <n v="74198.900000000009"/>
    <n v="3709.9450000000006"/>
    <n v="11.707762463795749"/>
  </r>
  <r>
    <s v="ORD10216"/>
    <x v="147"/>
    <s v="CUST1077"/>
    <s v="Chennai"/>
    <x v="2"/>
    <x v="5"/>
    <x v="3"/>
    <x v="3"/>
    <n v="2"/>
    <n v="28266.1"/>
    <n v="0.05"/>
    <x v="215"/>
    <n v="46484.68"/>
    <n v="7220.91"/>
    <n v="56532.2"/>
    <n v="2826.61"/>
    <n v="13.445360157108412"/>
  </r>
  <r>
    <s v="ORD10217"/>
    <x v="148"/>
    <s v="CUST1056"/>
    <s v="Lucknow"/>
    <x v="1"/>
    <x v="7"/>
    <x v="0"/>
    <x v="6"/>
    <n v="2"/>
    <n v="16579"/>
    <n v="0.1"/>
    <x v="216"/>
    <n v="23809.59"/>
    <n v="6032.61"/>
    <n v="33158"/>
    <n v="3315.8"/>
    <n v="20.21503106339345"/>
  </r>
  <r>
    <s v="ORD10218"/>
    <x v="37"/>
    <s v="CUST1106"/>
    <s v="Indore"/>
    <x v="0"/>
    <x v="8"/>
    <x v="1"/>
    <x v="5"/>
    <n v="6"/>
    <n v="2140.02"/>
    <n v="0.05"/>
    <x v="217"/>
    <n v="10665.5"/>
    <n v="1532.61"/>
    <n v="12840.119999999999"/>
    <n v="642.00599999999997"/>
    <n v="12.564323489458612"/>
  </r>
  <r>
    <s v="ORD10219"/>
    <x v="54"/>
    <s v="CUST1015"/>
    <s v="Delhi"/>
    <x v="1"/>
    <x v="6"/>
    <x v="3"/>
    <x v="1"/>
    <n v="6"/>
    <n v="30298.91"/>
    <n v="0.05"/>
    <x v="218"/>
    <n v="141725.15"/>
    <n v="30978.639999999999"/>
    <n v="181793.46"/>
    <n v="9089.6730000000007"/>
    <n v="17.937440747536577"/>
  </r>
  <r>
    <s v="ORD10220"/>
    <x v="18"/>
    <s v="CUST1050"/>
    <s v="Kolkata"/>
    <x v="3"/>
    <x v="2"/>
    <x v="1"/>
    <x v="7"/>
    <n v="1"/>
    <n v="9150.2000000000007"/>
    <n v="0"/>
    <x v="219"/>
    <n v="7012.14"/>
    <n v="2138.06"/>
    <n v="9150.2000000000007"/>
    <n v="0"/>
    <n v="23.366265218246593"/>
  </r>
  <r>
    <s v="ORD10221"/>
    <x v="149"/>
    <s v="CUST1069"/>
    <s v="Indore"/>
    <x v="0"/>
    <x v="7"/>
    <x v="0"/>
    <x v="5"/>
    <n v="2"/>
    <n v="16348.35"/>
    <n v="0.1"/>
    <x v="220"/>
    <n v="23601.52"/>
    <n v="5825.51"/>
    <n v="32696.7"/>
    <n v="3269.67"/>
    <n v="19.796459241724364"/>
  </r>
  <r>
    <s v="ORD10222"/>
    <x v="150"/>
    <s v="CUST1143"/>
    <s v="Ahmedabad"/>
    <x v="4"/>
    <x v="4"/>
    <x v="3"/>
    <x v="2"/>
    <n v="5"/>
    <n v="38644.6"/>
    <n v="0"/>
    <x v="221"/>
    <n v="181218.54"/>
    <n v="12004.46"/>
    <n v="193223"/>
    <n v="0"/>
    <n v="6.2127489998602643"/>
  </r>
  <r>
    <s v="ORD10223"/>
    <x v="46"/>
    <s v="CUST1002"/>
    <s v="Hyderabad"/>
    <x v="2"/>
    <x v="2"/>
    <x v="1"/>
    <x v="7"/>
    <n v="5"/>
    <n v="3683.51"/>
    <n v="0.05"/>
    <x v="222"/>
    <n v="14004.12"/>
    <n v="3492.55"/>
    <n v="18417.550000000003"/>
    <n v="920.87750000000017"/>
    <n v="19.961226907748735"/>
  </r>
  <r>
    <s v="ORD10224"/>
    <x v="151"/>
    <s v="CUST1024"/>
    <s v="Bhopal"/>
    <x v="0"/>
    <x v="4"/>
    <x v="3"/>
    <x v="3"/>
    <n v="6"/>
    <n v="35215.94"/>
    <n v="0"/>
    <x v="223"/>
    <n v="184840.05"/>
    <n v="26455.59"/>
    <n v="211295.64"/>
    <n v="0"/>
    <n v="12.520651159673715"/>
  </r>
  <r>
    <s v="ORD10225"/>
    <x v="149"/>
    <s v="CUST1097"/>
    <s v="Indore"/>
    <x v="0"/>
    <x v="2"/>
    <x v="1"/>
    <x v="3"/>
    <n v="7"/>
    <n v="4366.43"/>
    <n v="0.1"/>
    <x v="224"/>
    <n v="22782.89"/>
    <n v="4725.62"/>
    <n v="30565.010000000002"/>
    <n v="3056.5010000000002"/>
    <n v="17.178756682931937"/>
  </r>
  <r>
    <s v="ORD10226"/>
    <x v="77"/>
    <s v="CUST1060"/>
    <s v="Jaipur"/>
    <x v="1"/>
    <x v="9"/>
    <x v="3"/>
    <x v="1"/>
    <n v="1"/>
    <n v="54066.26"/>
    <n v="0.05"/>
    <x v="225"/>
    <n v="44981.57"/>
    <n v="6381.38"/>
    <n v="54066.26"/>
    <n v="2703.3130000000001"/>
    <n v="12.424091684764992"/>
  </r>
  <r>
    <s v="ORD10227"/>
    <x v="14"/>
    <s v="CUST1058"/>
    <s v="Chennai"/>
    <x v="2"/>
    <x v="1"/>
    <x v="1"/>
    <x v="2"/>
    <n v="2"/>
    <n v="1938.82"/>
    <n v="0.05"/>
    <x v="226"/>
    <n v="3020.65"/>
    <n v="663.11"/>
    <n v="3877.64"/>
    <n v="193.88200000000001"/>
    <n v="18.000901253067518"/>
  </r>
  <r>
    <s v="ORD10228"/>
    <x v="152"/>
    <s v="CUST1008"/>
    <s v="Delhi"/>
    <x v="1"/>
    <x v="4"/>
    <x v="3"/>
    <x v="4"/>
    <n v="3"/>
    <n v="33147.21"/>
    <n v="0.05"/>
    <x v="227"/>
    <n v="84846.080000000002"/>
    <n v="9623.4699999999993"/>
    <n v="99441.63"/>
    <n v="4972.0815000000002"/>
    <n v="10.186848566548692"/>
  </r>
  <r>
    <s v="ORD10229"/>
    <x v="37"/>
    <s v="CUST1144"/>
    <s v="Bhopal"/>
    <x v="0"/>
    <x v="3"/>
    <x v="2"/>
    <x v="3"/>
    <n v="2"/>
    <n v="10091.469999999999"/>
    <n v="0"/>
    <x v="228"/>
    <n v="17073.87"/>
    <n v="3109.07"/>
    <n v="20182.939999999999"/>
    <n v="0"/>
    <n v="15.404445536676025"/>
  </r>
  <r>
    <s v="ORD10230"/>
    <x v="55"/>
    <s v="CUST1104"/>
    <s v="Chennai"/>
    <x v="2"/>
    <x v="0"/>
    <x v="0"/>
    <x v="4"/>
    <n v="6"/>
    <n v="23704.45"/>
    <n v="0"/>
    <x v="229"/>
    <n v="112655.22"/>
    <n v="29571.48"/>
    <n v="142226.70000000001"/>
    <n v="0"/>
    <n v="20.791792258415612"/>
  </r>
  <r>
    <s v="ORD10231"/>
    <x v="14"/>
    <s v="CUST1150"/>
    <s v="Indore"/>
    <x v="0"/>
    <x v="0"/>
    <x v="0"/>
    <x v="1"/>
    <n v="1"/>
    <n v="23140.6"/>
    <n v="0.1"/>
    <x v="230"/>
    <n v="16192.32"/>
    <n v="4634.22"/>
    <n v="23140.6"/>
    <n v="2314.06"/>
    <n v="22.251511772958928"/>
  </r>
  <r>
    <s v="ORD10232"/>
    <x v="153"/>
    <s v="CUST1036"/>
    <s v="Mumbai"/>
    <x v="4"/>
    <x v="1"/>
    <x v="1"/>
    <x v="6"/>
    <n v="6"/>
    <n v="4269.4799999999996"/>
    <n v="0"/>
    <x v="231"/>
    <n v="21564.18"/>
    <n v="4052.7"/>
    <n v="25616.879999999997"/>
    <n v="0"/>
    <n v="15.820427780432276"/>
  </r>
  <r>
    <s v="ORD10233"/>
    <x v="35"/>
    <s v="CUST1075"/>
    <s v="Pune"/>
    <x v="4"/>
    <x v="4"/>
    <x v="3"/>
    <x v="2"/>
    <n v="2"/>
    <n v="34045.480000000003"/>
    <n v="0.1"/>
    <x v="232"/>
    <n v="54550.53"/>
    <n v="6731.33"/>
    <n v="68090.960000000006"/>
    <n v="6809.0960000000014"/>
    <n v="10.984212946539156"/>
  </r>
  <r>
    <s v="ORD10234"/>
    <x v="39"/>
    <s v="CUST1143"/>
    <s v="Bhubaneswar"/>
    <x v="3"/>
    <x v="7"/>
    <x v="0"/>
    <x v="4"/>
    <n v="2"/>
    <n v="21020.58"/>
    <n v="0.05"/>
    <x v="233"/>
    <n v="28343.7"/>
    <n v="11595.4"/>
    <n v="42041.16"/>
    <n v="2102.0580000000004"/>
    <n v="29.032702289235363"/>
  </r>
  <r>
    <s v="ORD10235"/>
    <x v="154"/>
    <s v="CUST1035"/>
    <s v="Indore"/>
    <x v="0"/>
    <x v="2"/>
    <x v="1"/>
    <x v="4"/>
    <n v="1"/>
    <n v="5759.8"/>
    <n v="0"/>
    <x v="234"/>
    <n v="4388.43"/>
    <n v="1371.37"/>
    <n v="5759.8"/>
    <n v="0"/>
    <n v="23.809333657418659"/>
  </r>
  <r>
    <s v="ORD10236"/>
    <x v="155"/>
    <s v="CUST1149"/>
    <s v="Bengaluru"/>
    <x v="2"/>
    <x v="6"/>
    <x v="3"/>
    <x v="2"/>
    <n v="7"/>
    <n v="12673.23"/>
    <n v="0"/>
    <x v="235"/>
    <n v="79123.490000000005"/>
    <n v="9589.1200000000008"/>
    <n v="88712.61"/>
    <n v="0"/>
    <n v="10.80919612217474"/>
  </r>
  <r>
    <s v="ORD10237"/>
    <x v="156"/>
    <s v="CUST1025"/>
    <s v="Hyderabad"/>
    <x v="2"/>
    <x v="4"/>
    <x v="3"/>
    <x v="1"/>
    <n v="6"/>
    <n v="26180.720000000001"/>
    <n v="0.15"/>
    <x v="236"/>
    <n v="117807.84"/>
    <n v="15713.83"/>
    <n v="157084.32"/>
    <n v="23562.648000000001"/>
    <n v="11.768748848033431"/>
  </r>
  <r>
    <s v="ORD10238"/>
    <x v="47"/>
    <s v="CUST1125"/>
    <s v="Nagpur"/>
    <x v="0"/>
    <x v="9"/>
    <x v="3"/>
    <x v="3"/>
    <n v="6"/>
    <n v="81910.289999999994"/>
    <n v="0"/>
    <x v="237"/>
    <n v="407998.68"/>
    <n v="83463.06"/>
    <n v="491461.74"/>
    <n v="0"/>
    <n v="16.982615981459716"/>
  </r>
  <r>
    <s v="ORD10239"/>
    <x v="157"/>
    <s v="CUST1068"/>
    <s v="Kolkata"/>
    <x v="3"/>
    <x v="1"/>
    <x v="1"/>
    <x v="0"/>
    <n v="5"/>
    <n v="1311.4"/>
    <n v="0"/>
    <x v="238"/>
    <n v="5458.23"/>
    <n v="1098.77"/>
    <n v="6557"/>
    <n v="0"/>
    <n v="16.75720603934726"/>
  </r>
  <r>
    <s v="ORD10240"/>
    <x v="60"/>
    <s v="CUST1043"/>
    <s v="Chennai"/>
    <x v="2"/>
    <x v="8"/>
    <x v="1"/>
    <x v="4"/>
    <n v="4"/>
    <n v="5946.73"/>
    <n v="0.1"/>
    <x v="239"/>
    <n v="18838.32"/>
    <n v="2569.91"/>
    <n v="23786.92"/>
    <n v="2378.692"/>
    <n v="12.004308623365874"/>
  </r>
  <r>
    <s v="ORD10241"/>
    <x v="152"/>
    <s v="CUST1089"/>
    <s v="Chennai"/>
    <x v="2"/>
    <x v="7"/>
    <x v="0"/>
    <x v="1"/>
    <n v="3"/>
    <n v="7584.42"/>
    <n v="0.05"/>
    <x v="240"/>
    <n v="17227.330000000002"/>
    <n v="4388.2700000000004"/>
    <n v="22753.260000000002"/>
    <n v="1137.6630000000002"/>
    <n v="20.301402690649351"/>
  </r>
  <r>
    <s v="ORD10242"/>
    <x v="24"/>
    <s v="CUST1073"/>
    <s v="Pune"/>
    <x v="4"/>
    <x v="0"/>
    <x v="0"/>
    <x v="3"/>
    <n v="7"/>
    <n v="13244.46"/>
    <n v="0"/>
    <x v="241"/>
    <n v="76294.850000000006"/>
    <n v="16416.37"/>
    <n v="92711.22"/>
    <n v="0"/>
    <n v="17.706993824479927"/>
  </r>
  <r>
    <s v="ORD10243"/>
    <x v="112"/>
    <s v="CUST1040"/>
    <s v="Bhubaneswar"/>
    <x v="3"/>
    <x v="5"/>
    <x v="3"/>
    <x v="6"/>
    <n v="4"/>
    <n v="16977.46"/>
    <n v="0.05"/>
    <x v="242"/>
    <n v="56321.86"/>
    <n v="8192.49"/>
    <n v="67909.84"/>
    <n v="3395.4920000000002"/>
    <n v="12.698709666919065"/>
  </r>
  <r>
    <s v="ORD10244"/>
    <x v="154"/>
    <s v="CUST1063"/>
    <s v="Delhi"/>
    <x v="1"/>
    <x v="8"/>
    <x v="1"/>
    <x v="0"/>
    <n v="4"/>
    <n v="3076.53"/>
    <n v="0.05"/>
    <x v="243"/>
    <n v="9640.35"/>
    <n v="2050.46"/>
    <n v="12306.12"/>
    <n v="615.30600000000004"/>
    <n v="17.539075564481845"/>
  </r>
  <r>
    <s v="ORD10245"/>
    <x v="158"/>
    <s v="CUST1086"/>
    <s v="Patna"/>
    <x v="3"/>
    <x v="5"/>
    <x v="3"/>
    <x v="0"/>
    <n v="4"/>
    <n v="22297.26"/>
    <n v="0.05"/>
    <x v="244"/>
    <n v="77449.64"/>
    <n v="7279.95"/>
    <n v="89189.04"/>
    <n v="4459.4520000000002"/>
    <n v="8.5919806764083244"/>
  </r>
  <r>
    <s v="ORD10246"/>
    <x v="159"/>
    <s v="CUST1120"/>
    <s v="Pune"/>
    <x v="4"/>
    <x v="1"/>
    <x v="1"/>
    <x v="5"/>
    <n v="7"/>
    <n v="880.61"/>
    <n v="0.05"/>
    <x v="245"/>
    <n v="4459.2299999999996"/>
    <n v="1396.83"/>
    <n v="6164.27"/>
    <n v="308.21350000000007"/>
    <n v="23.852726918781567"/>
  </r>
  <r>
    <s v="ORD10247"/>
    <x v="10"/>
    <s v="CUST1139"/>
    <s v="Kolkata"/>
    <x v="3"/>
    <x v="1"/>
    <x v="1"/>
    <x v="5"/>
    <n v="5"/>
    <n v="4304.07"/>
    <n v="0.15"/>
    <x v="246"/>
    <n v="13642.4"/>
    <n v="4649.8999999999996"/>
    <n v="21520.35"/>
    <n v="3228.0524999999998"/>
    <n v="25.419985458362259"/>
  </r>
  <r>
    <s v="ORD10248"/>
    <x v="160"/>
    <s v="CUST1082"/>
    <s v="Delhi"/>
    <x v="1"/>
    <x v="1"/>
    <x v="1"/>
    <x v="7"/>
    <n v="4"/>
    <n v="2850.61"/>
    <n v="0.1"/>
    <x v="247"/>
    <n v="8398.0499999999993"/>
    <n v="1864.15"/>
    <n v="11402.44"/>
    <n v="1140.2440000000001"/>
    <n v="18.165208239948548"/>
  </r>
  <r>
    <s v="ORD10249"/>
    <x v="113"/>
    <s v="CUST1105"/>
    <s v="Lucknow"/>
    <x v="1"/>
    <x v="8"/>
    <x v="1"/>
    <x v="7"/>
    <n v="2"/>
    <n v="10483.299999999999"/>
    <n v="0.1"/>
    <x v="248"/>
    <n v="14417.18"/>
    <n v="4452.76"/>
    <n v="20966.599999999999"/>
    <n v="2096.66"/>
    <n v="23.597107356992129"/>
  </r>
  <r>
    <s v="ORD10250"/>
    <x v="32"/>
    <s v="CUST1010"/>
    <s v="Jaipur"/>
    <x v="1"/>
    <x v="3"/>
    <x v="2"/>
    <x v="1"/>
    <n v="2"/>
    <n v="28627.95"/>
    <n v="0"/>
    <x v="249"/>
    <n v="49780.54"/>
    <n v="7475.36"/>
    <n v="57255.9"/>
    <n v="0"/>
    <n v="13.056051865397277"/>
  </r>
  <r>
    <s v="ORD10251"/>
    <x v="161"/>
    <s v="CUST1145"/>
    <s v="Bhopal"/>
    <x v="0"/>
    <x v="7"/>
    <x v="0"/>
    <x v="3"/>
    <n v="3"/>
    <n v="16209.02"/>
    <n v="0.05"/>
    <x v="250"/>
    <n v="36622.31"/>
    <n v="9573.4"/>
    <n v="48627.06"/>
    <n v="2431.3530000000001"/>
    <n v="20.723569353084951"/>
  </r>
  <r>
    <s v="ORD10252"/>
    <x v="162"/>
    <s v="CUST1087"/>
    <s v="Ahmedabad"/>
    <x v="4"/>
    <x v="1"/>
    <x v="1"/>
    <x v="2"/>
    <n v="1"/>
    <n v="3897.22"/>
    <n v="0"/>
    <x v="251"/>
    <n v="3288.4"/>
    <n v="608.82000000000005"/>
    <n v="3897.22"/>
    <n v="0"/>
    <n v="15.621904844992073"/>
  </r>
  <r>
    <s v="ORD10253"/>
    <x v="163"/>
    <s v="CUST1058"/>
    <s v="Ahmedabad"/>
    <x v="4"/>
    <x v="0"/>
    <x v="0"/>
    <x v="5"/>
    <n v="1"/>
    <n v="9212.7199999999993"/>
    <n v="0.15"/>
    <x v="252"/>
    <n v="5884.85"/>
    <n v="1945.96"/>
    <n v="9212.7199999999993"/>
    <n v="1381.9079999999999"/>
    <n v="24.850047440813913"/>
  </r>
  <r>
    <s v="ORD10254"/>
    <x v="164"/>
    <s v="CUST1005"/>
    <s v="Hyderabad"/>
    <x v="2"/>
    <x v="8"/>
    <x v="1"/>
    <x v="0"/>
    <n v="7"/>
    <n v="9566.26"/>
    <n v="0.1"/>
    <x v="253"/>
    <n v="50255.25"/>
    <n v="10012.19"/>
    <n v="66963.820000000007"/>
    <n v="6696.3820000000014"/>
    <n v="16.612933949077643"/>
  </r>
  <r>
    <s v="ORD10255"/>
    <x v="74"/>
    <s v="CUST1104"/>
    <s v="Bengaluru"/>
    <x v="2"/>
    <x v="6"/>
    <x v="3"/>
    <x v="6"/>
    <n v="4"/>
    <n v="11148.06"/>
    <n v="0.1"/>
    <x v="254"/>
    <n v="32979.370000000003"/>
    <n v="7153.65"/>
    <n v="44592.24"/>
    <n v="4459.2240000000002"/>
    <n v="17.824848466424907"/>
  </r>
  <r>
    <s v="ORD10256"/>
    <x v="150"/>
    <s v="CUST1114"/>
    <s v="Indore"/>
    <x v="0"/>
    <x v="8"/>
    <x v="1"/>
    <x v="1"/>
    <n v="1"/>
    <n v="9566.0400000000009"/>
    <n v="0.15"/>
    <x v="255"/>
    <n v="6649.86"/>
    <n v="1481.27"/>
    <n v="9566.0400000000009"/>
    <n v="1434.9060000000002"/>
    <n v="18.217271154193821"/>
  </r>
  <r>
    <s v="ORD10257"/>
    <x v="165"/>
    <s v="CUST1032"/>
    <s v="Indore"/>
    <x v="0"/>
    <x v="0"/>
    <x v="0"/>
    <x v="7"/>
    <n v="5"/>
    <n v="9393.09"/>
    <n v="0.05"/>
    <x v="256"/>
    <n v="33473.199999999997"/>
    <n v="11143.98"/>
    <n v="46965.45"/>
    <n v="2348.2725"/>
    <n v="24.976881102750106"/>
  </r>
  <r>
    <s v="ORD10258"/>
    <x v="123"/>
    <s v="CUST1059"/>
    <s v="Hyderabad"/>
    <x v="2"/>
    <x v="2"/>
    <x v="1"/>
    <x v="4"/>
    <n v="2"/>
    <n v="4375.2700000000004"/>
    <n v="0"/>
    <x v="257"/>
    <n v="7134.66"/>
    <n v="1615.88"/>
    <n v="8750.5400000000009"/>
    <n v="0"/>
    <n v="18.466060380273674"/>
  </r>
  <r>
    <s v="ORD10259"/>
    <x v="166"/>
    <s v="CUST1032"/>
    <s v="Bengaluru"/>
    <x v="2"/>
    <x v="3"/>
    <x v="2"/>
    <x v="2"/>
    <n v="4"/>
    <n v="9928.41"/>
    <n v="0"/>
    <x v="258"/>
    <n v="35163.24"/>
    <n v="4550.3999999999996"/>
    <n v="39713.64"/>
    <n v="0"/>
    <n v="11.458028022613892"/>
  </r>
  <r>
    <s v="ORD10260"/>
    <x v="167"/>
    <s v="CUST1012"/>
    <s v="Mumbai"/>
    <x v="4"/>
    <x v="0"/>
    <x v="0"/>
    <x v="6"/>
    <n v="2"/>
    <n v="27840.720000000001"/>
    <n v="0.1"/>
    <x v="259"/>
    <n v="36915.24"/>
    <n v="13198.06"/>
    <n v="55681.440000000002"/>
    <n v="5568.1440000000002"/>
    <n v="26.336441623281644"/>
  </r>
  <r>
    <s v="ORD10261"/>
    <x v="34"/>
    <s v="CUST1086"/>
    <s v="Bhopal"/>
    <x v="0"/>
    <x v="1"/>
    <x v="1"/>
    <x v="4"/>
    <n v="6"/>
    <n v="4909.2700000000004"/>
    <n v="0.05"/>
    <x v="260"/>
    <n v="20960.88"/>
    <n v="7021.96"/>
    <n v="29455.620000000003"/>
    <n v="1472.7810000000002"/>
    <n v="25.093807490590663"/>
  </r>
  <r>
    <s v="ORD10262"/>
    <x v="168"/>
    <s v="CUST1027"/>
    <s v="Lucknow"/>
    <x v="1"/>
    <x v="6"/>
    <x v="3"/>
    <x v="1"/>
    <n v="5"/>
    <n v="23028.46"/>
    <n v="0"/>
    <x v="261"/>
    <n v="102111.31"/>
    <n v="13030.99"/>
    <n v="115142.29999999999"/>
    <n v="0"/>
    <n v="11.317291733793748"/>
  </r>
  <r>
    <s v="ORD10263"/>
    <x v="33"/>
    <s v="CUST1097"/>
    <s v="Patna"/>
    <x v="3"/>
    <x v="5"/>
    <x v="3"/>
    <x v="7"/>
    <n v="4"/>
    <n v="16218.93"/>
    <n v="0.05"/>
    <x v="262"/>
    <n v="54309.97"/>
    <n v="7321.96"/>
    <n v="64875.72"/>
    <n v="3243.7860000000001"/>
    <n v="11.880140699796355"/>
  </r>
  <r>
    <s v="ORD10264"/>
    <x v="169"/>
    <s v="CUST1025"/>
    <s v="Patna"/>
    <x v="3"/>
    <x v="6"/>
    <x v="3"/>
    <x v="7"/>
    <n v="5"/>
    <n v="23690.57"/>
    <n v="0"/>
    <x v="263"/>
    <n v="99770.79"/>
    <n v="18682.060000000001"/>
    <n v="118452.85"/>
    <n v="0"/>
    <n v="15.771726893865365"/>
  </r>
  <r>
    <s v="ORD10265"/>
    <x v="170"/>
    <s v="CUST1132"/>
    <s v="Patna"/>
    <x v="3"/>
    <x v="0"/>
    <x v="0"/>
    <x v="7"/>
    <n v="1"/>
    <n v="16692.71"/>
    <n v="0.05"/>
    <x v="264"/>
    <n v="11643.41"/>
    <n v="4214.66"/>
    <n v="16692.71"/>
    <n v="834.63549999999998"/>
    <n v="26.577382998057143"/>
  </r>
  <r>
    <s v="ORD10266"/>
    <x v="20"/>
    <s v="CUST1066"/>
    <s v="Bengaluru"/>
    <x v="2"/>
    <x v="4"/>
    <x v="3"/>
    <x v="6"/>
    <n v="2"/>
    <n v="25201.78"/>
    <n v="0.05"/>
    <x v="265"/>
    <n v="41497.620000000003"/>
    <n v="6385.76"/>
    <n v="50403.56"/>
    <n v="2520.1779999999999"/>
    <n v="13.336067754615485"/>
  </r>
  <r>
    <s v="ORD10267"/>
    <x v="171"/>
    <s v="CUST1012"/>
    <s v="Kolkata"/>
    <x v="3"/>
    <x v="3"/>
    <x v="2"/>
    <x v="6"/>
    <n v="6"/>
    <n v="19301.439999999999"/>
    <n v="0.1"/>
    <x v="266"/>
    <n v="83299.289999999994"/>
    <n v="20928.490000000002"/>
    <n v="115808.63999999998"/>
    <n v="11580.864"/>
    <n v="20.079569957260919"/>
  </r>
  <r>
    <s v="ORD10268"/>
    <x v="93"/>
    <s v="CUST1070"/>
    <s v="Lucknow"/>
    <x v="1"/>
    <x v="4"/>
    <x v="3"/>
    <x v="7"/>
    <n v="4"/>
    <n v="52933.82"/>
    <n v="0"/>
    <x v="267"/>
    <n v="196193.93"/>
    <n v="15541.35"/>
    <n v="211735.28"/>
    <n v="0"/>
    <n v="7.3399907658279719"/>
  </r>
  <r>
    <s v="ORD10269"/>
    <x v="103"/>
    <s v="CUST1037"/>
    <s v="Bhopal"/>
    <x v="0"/>
    <x v="2"/>
    <x v="1"/>
    <x v="4"/>
    <n v="5"/>
    <n v="4630.63"/>
    <n v="0.05"/>
    <x v="268"/>
    <n v="16856.29"/>
    <n v="5139.2"/>
    <n v="23153.15"/>
    <n v="1157.6575"/>
    <n v="23.364789781905287"/>
  </r>
  <r>
    <s v="ORD10270"/>
    <x v="66"/>
    <s v="CUST1004"/>
    <s v="Nagpur"/>
    <x v="0"/>
    <x v="8"/>
    <x v="1"/>
    <x v="0"/>
    <n v="5"/>
    <n v="3158.25"/>
    <n v="0"/>
    <x v="269"/>
    <n v="12688.8"/>
    <n v="3102.45"/>
    <n v="15791.25"/>
    <n v="0"/>
    <n v="19.646639753027785"/>
  </r>
  <r>
    <s v="ORD10271"/>
    <x v="93"/>
    <s v="CUST1024"/>
    <s v="Ahmedabad"/>
    <x v="4"/>
    <x v="0"/>
    <x v="0"/>
    <x v="1"/>
    <n v="2"/>
    <n v="9186.8799999999992"/>
    <n v="0.05"/>
    <x v="270"/>
    <n v="13487.9"/>
    <n v="3967.17"/>
    <n v="18373.759999999998"/>
    <n v="918.68799999999999"/>
    <n v="22.727895104402332"/>
  </r>
  <r>
    <s v="ORD10272"/>
    <x v="30"/>
    <s v="CUST1150"/>
    <s v="Pune"/>
    <x v="4"/>
    <x v="5"/>
    <x v="3"/>
    <x v="7"/>
    <n v="4"/>
    <n v="19554.98"/>
    <n v="0"/>
    <x v="271"/>
    <n v="68263.759999999995"/>
    <n v="9956.16"/>
    <n v="78219.92"/>
    <n v="0"/>
    <n v="12.728420075090845"/>
  </r>
  <r>
    <s v="ORD10273"/>
    <x v="163"/>
    <s v="CUST1094"/>
    <s v="Chennai"/>
    <x v="2"/>
    <x v="2"/>
    <x v="1"/>
    <x v="5"/>
    <n v="7"/>
    <n v="7515.29"/>
    <n v="0.1"/>
    <x v="272"/>
    <n v="37761.75"/>
    <n v="9584.58"/>
    <n v="52607.03"/>
    <n v="5260.7030000000004"/>
    <n v="20.243554252251442"/>
  </r>
  <r>
    <s v="ORD10274"/>
    <x v="19"/>
    <s v="CUST1047"/>
    <s v="Delhi"/>
    <x v="1"/>
    <x v="9"/>
    <x v="3"/>
    <x v="2"/>
    <n v="4"/>
    <n v="48544.02"/>
    <n v="0"/>
    <x v="273"/>
    <n v="163081.35999999999"/>
    <n v="31094.720000000001"/>
    <n v="194176.08"/>
    <n v="0"/>
    <n v="16.013671714868281"/>
  </r>
  <r>
    <s v="ORD10275"/>
    <x v="172"/>
    <s v="CUST1143"/>
    <s v="Kolkata"/>
    <x v="3"/>
    <x v="9"/>
    <x v="3"/>
    <x v="4"/>
    <n v="4"/>
    <n v="61849.919999999998"/>
    <n v="0.05"/>
    <x v="274"/>
    <n v="212037.86"/>
    <n v="22991.84"/>
    <n v="247399.67999999999"/>
    <n v="12369.984"/>
    <n v="9.7825253574335491"/>
  </r>
  <r>
    <s v="ORD10276"/>
    <x v="59"/>
    <s v="CUST1050"/>
    <s v="Bhubaneswar"/>
    <x v="3"/>
    <x v="7"/>
    <x v="0"/>
    <x v="2"/>
    <n v="5"/>
    <n v="14721.83"/>
    <n v="0"/>
    <x v="275"/>
    <n v="57159.839999999997"/>
    <n v="16449.310000000001"/>
    <n v="73609.149999999994"/>
    <n v="0"/>
    <n v="22.346827806054005"/>
  </r>
  <r>
    <s v="ORD10277"/>
    <x v="141"/>
    <s v="CUST1147"/>
    <s v="Mumbai"/>
    <x v="4"/>
    <x v="6"/>
    <x v="3"/>
    <x v="1"/>
    <n v="1"/>
    <n v="16099.84"/>
    <n v="0.1"/>
    <x v="276"/>
    <n v="11906.92"/>
    <n v="2582.94"/>
    <n v="16099.84"/>
    <n v="1609.9840000000002"/>
    <n v="17.825845108234308"/>
  </r>
  <r>
    <s v="ORD10278"/>
    <x v="173"/>
    <s v="CUST1149"/>
    <s v="Bhubaneswar"/>
    <x v="3"/>
    <x v="2"/>
    <x v="1"/>
    <x v="1"/>
    <n v="5"/>
    <n v="8918.2099999999991"/>
    <n v="0.05"/>
    <x v="277"/>
    <n v="33986.26"/>
    <n v="8375.24"/>
    <n v="44591.049999999996"/>
    <n v="2229.5524999999998"/>
    <n v="19.77087685752393"/>
  </r>
  <r>
    <s v="ORD10279"/>
    <x v="2"/>
    <s v="CUST1129"/>
    <s v="Bhopal"/>
    <x v="0"/>
    <x v="8"/>
    <x v="1"/>
    <x v="7"/>
    <n v="4"/>
    <n v="2641.58"/>
    <n v="0"/>
    <x v="278"/>
    <n v="8056.73"/>
    <n v="2509.59"/>
    <n v="10566.32"/>
    <n v="0"/>
    <n v="23.750842298927161"/>
  </r>
  <r>
    <s v="ORD10280"/>
    <x v="1"/>
    <s v="CUST1084"/>
    <s v="Nagpur"/>
    <x v="0"/>
    <x v="3"/>
    <x v="2"/>
    <x v="7"/>
    <n v="4"/>
    <n v="9813.7999999999993"/>
    <n v="0"/>
    <x v="279"/>
    <n v="33450.910000000003"/>
    <n v="5804.29"/>
    <n v="39255.199999999997"/>
    <n v="0"/>
    <n v="14.786041085002752"/>
  </r>
  <r>
    <s v="ORD10281"/>
    <x v="37"/>
    <s v="CUST1014"/>
    <s v="Bhopal"/>
    <x v="0"/>
    <x v="0"/>
    <x v="0"/>
    <x v="7"/>
    <n v="6"/>
    <n v="8198.15"/>
    <n v="0"/>
    <x v="280"/>
    <n v="39691.19"/>
    <n v="9497.7099999999991"/>
    <n v="49188.899999999994"/>
    <n v="0"/>
    <n v="19.308644836538321"/>
  </r>
  <r>
    <s v="ORD10282"/>
    <x v="56"/>
    <s v="CUST1107"/>
    <s v="Patna"/>
    <x v="3"/>
    <x v="2"/>
    <x v="1"/>
    <x v="3"/>
    <n v="6"/>
    <n v="8680.7099999999991"/>
    <n v="0"/>
    <x v="281"/>
    <n v="41745.089999999997"/>
    <n v="10339.17"/>
    <n v="52084.259999999995"/>
    <n v="0"/>
    <n v="19.850853213619622"/>
  </r>
  <r>
    <s v="ORD10283"/>
    <x v="174"/>
    <s v="CUST1127"/>
    <s v="Hyderabad"/>
    <x v="2"/>
    <x v="3"/>
    <x v="2"/>
    <x v="5"/>
    <n v="2"/>
    <n v="14302.09"/>
    <n v="0"/>
    <x v="282"/>
    <n v="24551.51"/>
    <n v="4052.67"/>
    <n v="28604.18"/>
    <n v="0"/>
    <n v="14.16810410226757"/>
  </r>
  <r>
    <s v="ORD10284"/>
    <x v="46"/>
    <s v="CUST1120"/>
    <s v="Jaipur"/>
    <x v="1"/>
    <x v="8"/>
    <x v="1"/>
    <x v="7"/>
    <n v="7"/>
    <n v="2582.27"/>
    <n v="0"/>
    <x v="283"/>
    <n v="13961.4"/>
    <n v="4114.49"/>
    <n v="18075.89"/>
    <n v="0"/>
    <n v="22.762309352402564"/>
  </r>
  <r>
    <s v="ORD10285"/>
    <x v="175"/>
    <s v="CUST1049"/>
    <s v="Lucknow"/>
    <x v="1"/>
    <x v="1"/>
    <x v="1"/>
    <x v="2"/>
    <n v="2"/>
    <n v="4921.45"/>
    <n v="0"/>
    <x v="284"/>
    <n v="7438.57"/>
    <n v="2404.33"/>
    <n v="9842.9"/>
    <n v="0"/>
    <n v="24.427048938829003"/>
  </r>
  <r>
    <s v="ORD10286"/>
    <x v="145"/>
    <s v="CUST1033"/>
    <s v="Pune"/>
    <x v="4"/>
    <x v="1"/>
    <x v="1"/>
    <x v="6"/>
    <n v="2"/>
    <n v="1746.33"/>
    <n v="0"/>
    <x v="285"/>
    <n v="2658.31"/>
    <n v="834.35"/>
    <n v="3492.66"/>
    <n v="0"/>
    <n v="23.888669380930295"/>
  </r>
  <r>
    <s v="ORD10287"/>
    <x v="84"/>
    <s v="CUST1017"/>
    <s v="Kolkata"/>
    <x v="3"/>
    <x v="4"/>
    <x v="3"/>
    <x v="1"/>
    <n v="3"/>
    <n v="35198.89"/>
    <n v="0"/>
    <x v="286"/>
    <n v="92533.82"/>
    <n v="13062.85"/>
    <n v="105596.67"/>
    <n v="0"/>
    <n v="12.370513198948414"/>
  </r>
  <r>
    <s v="ORD10288"/>
    <x v="115"/>
    <s v="CUST1066"/>
    <s v="Pune"/>
    <x v="4"/>
    <x v="9"/>
    <x v="3"/>
    <x v="1"/>
    <n v="5"/>
    <n v="62145.22"/>
    <n v="0.1"/>
    <x v="287"/>
    <n v="233511.35"/>
    <n v="46142.14"/>
    <n v="310726.09999999998"/>
    <n v="31072.61"/>
    <n v="16.499754750065875"/>
  </r>
  <r>
    <s v="ORD10289"/>
    <x v="70"/>
    <s v="CUST1138"/>
    <s v="Ahmedabad"/>
    <x v="4"/>
    <x v="7"/>
    <x v="0"/>
    <x v="2"/>
    <n v="7"/>
    <n v="14272.34"/>
    <n v="0.05"/>
    <x v="288"/>
    <n v="68642.67"/>
    <n v="26268.39"/>
    <n v="99906.38"/>
    <n v="4995.3190000000004"/>
    <n v="27.676848198724151"/>
  </r>
  <r>
    <s v="ORD10290"/>
    <x v="2"/>
    <s v="CUST1068"/>
    <s v="Ahmedabad"/>
    <x v="4"/>
    <x v="9"/>
    <x v="3"/>
    <x v="4"/>
    <n v="7"/>
    <n v="53054.55"/>
    <n v="0.1"/>
    <x v="289"/>
    <n v="289292.98"/>
    <n v="44950.69"/>
    <n v="371381.85000000003"/>
    <n v="37138.185000000005"/>
    <n v="13.448479069177289"/>
  </r>
  <r>
    <s v="ORD10291"/>
    <x v="176"/>
    <s v="CUST1125"/>
    <s v="Patna"/>
    <x v="3"/>
    <x v="0"/>
    <x v="0"/>
    <x v="6"/>
    <n v="7"/>
    <n v="9651.33"/>
    <n v="0.1"/>
    <x v="290"/>
    <n v="44722.75"/>
    <n v="16080.63"/>
    <n v="67559.31"/>
    <n v="6755.9310000000005"/>
    <n v="26.446934364504077"/>
  </r>
  <r>
    <s v="ORD10292"/>
    <x v="125"/>
    <s v="CUST1044"/>
    <s v="Bengaluru"/>
    <x v="2"/>
    <x v="2"/>
    <x v="1"/>
    <x v="6"/>
    <n v="2"/>
    <n v="6242.84"/>
    <n v="0"/>
    <x v="291"/>
    <n v="10042.58"/>
    <n v="2443.1"/>
    <n v="12485.68"/>
    <n v="0"/>
    <n v="19.567216202882022"/>
  </r>
  <r>
    <s v="ORD10293"/>
    <x v="177"/>
    <s v="CUST1147"/>
    <s v="Indore"/>
    <x v="0"/>
    <x v="5"/>
    <x v="3"/>
    <x v="0"/>
    <n v="4"/>
    <n v="14953.26"/>
    <n v="0.05"/>
    <x v="292"/>
    <n v="50812.61"/>
    <n v="6009.78"/>
    <n v="59813.04"/>
    <n v="2990.652"/>
    <n v="10.576429467327932"/>
  </r>
  <r>
    <s v="ORD10294"/>
    <x v="24"/>
    <s v="CUST1085"/>
    <s v="Jaipur"/>
    <x v="1"/>
    <x v="2"/>
    <x v="1"/>
    <x v="7"/>
    <n v="4"/>
    <n v="2299.31"/>
    <n v="0.1"/>
    <x v="293"/>
    <n v="6544.94"/>
    <n v="1732.58"/>
    <n v="9197.24"/>
    <n v="919.72400000000005"/>
    <n v="20.931148459925193"/>
  </r>
  <r>
    <s v="ORD10295"/>
    <x v="4"/>
    <s v="CUST1007"/>
    <s v="Lucknow"/>
    <x v="1"/>
    <x v="0"/>
    <x v="0"/>
    <x v="7"/>
    <n v="4"/>
    <n v="17924"/>
    <n v="0.05"/>
    <x v="294"/>
    <n v="50729.81"/>
    <n v="17381.39"/>
    <n v="71696"/>
    <n v="3584.8"/>
    <n v="25.51913635349252"/>
  </r>
  <r>
    <s v="ORD10296"/>
    <x v="178"/>
    <s v="CUST1008"/>
    <s v="Hyderabad"/>
    <x v="2"/>
    <x v="4"/>
    <x v="3"/>
    <x v="0"/>
    <n v="6"/>
    <n v="23442.71"/>
    <n v="0"/>
    <x v="295"/>
    <n v="129659.56"/>
    <n v="10996.7"/>
    <n v="140656.26"/>
    <n v="0"/>
    <n v="7.8181376356800616"/>
  </r>
  <r>
    <s v="ORD10297"/>
    <x v="124"/>
    <s v="CUST1137"/>
    <s v="Hyderabad"/>
    <x v="2"/>
    <x v="1"/>
    <x v="1"/>
    <x v="3"/>
    <n v="6"/>
    <n v="2649.36"/>
    <n v="0.15"/>
    <x v="296"/>
    <n v="9979.86"/>
    <n v="3531.88"/>
    <n v="15896.16"/>
    <n v="2384.424"/>
    <n v="26.139342527313286"/>
  </r>
  <r>
    <s v="ORD10298"/>
    <x v="179"/>
    <s v="CUST1102"/>
    <s v="Mumbai"/>
    <x v="4"/>
    <x v="7"/>
    <x v="0"/>
    <x v="1"/>
    <n v="6"/>
    <n v="7081.38"/>
    <n v="0.05"/>
    <x v="297"/>
    <n v="32294.54"/>
    <n v="8069.33"/>
    <n v="42488.28"/>
    <n v="2124.4140000000002"/>
    <n v="19.991467616955457"/>
  </r>
  <r>
    <s v="ORD10299"/>
    <x v="52"/>
    <s v="CUST1025"/>
    <s v="Hyderabad"/>
    <x v="2"/>
    <x v="7"/>
    <x v="0"/>
    <x v="3"/>
    <n v="5"/>
    <n v="7207.05"/>
    <n v="0.05"/>
    <x v="298"/>
    <n v="25904.89"/>
    <n v="8328.6"/>
    <n v="36035.25"/>
    <n v="1801.7625"/>
    <n v="24.328807842846292"/>
  </r>
  <r>
    <s v="ORD10300"/>
    <x v="180"/>
    <s v="CUST1134"/>
    <s v="Bhubaneswar"/>
    <x v="3"/>
    <x v="1"/>
    <x v="1"/>
    <x v="2"/>
    <n v="4"/>
    <n v="4888.5200000000004"/>
    <n v="0.1"/>
    <x v="299"/>
    <n v="13084.99"/>
    <n v="4513.68"/>
    <n v="19554.080000000002"/>
    <n v="1955.4080000000004"/>
    <n v="25.647847252093488"/>
  </r>
  <r>
    <s v="ORD10301"/>
    <x v="91"/>
    <s v="CUST1131"/>
    <s v="Chennai"/>
    <x v="2"/>
    <x v="3"/>
    <x v="2"/>
    <x v="3"/>
    <n v="7"/>
    <n v="17308.03"/>
    <n v="0.05"/>
    <x v="300"/>
    <n v="99250.81"/>
    <n v="15847.59"/>
    <n v="121156.20999999999"/>
    <n v="6057.8104999999996"/>
    <n v="13.76873179818312"/>
  </r>
  <r>
    <s v="ORD10302"/>
    <x v="181"/>
    <s v="CUST1051"/>
    <s v="Jaipur"/>
    <x v="1"/>
    <x v="2"/>
    <x v="1"/>
    <x v="5"/>
    <n v="5"/>
    <n v="2355.42"/>
    <n v="0"/>
    <x v="301"/>
    <n v="8848.7999999999993"/>
    <n v="2928.3"/>
    <n v="11777.1"/>
    <n v="0"/>
    <n v="24.864355401584433"/>
  </r>
  <r>
    <s v="ORD10303"/>
    <x v="102"/>
    <s v="CUST1094"/>
    <s v="Lucknow"/>
    <x v="1"/>
    <x v="7"/>
    <x v="0"/>
    <x v="5"/>
    <n v="6"/>
    <n v="15555.79"/>
    <n v="0.05"/>
    <x v="302"/>
    <n v="64129.71"/>
    <n v="24538.29"/>
    <n v="93334.74"/>
    <n v="4666.7370000000001"/>
    <n v="27.674347002300721"/>
  </r>
  <r>
    <s v="ORD10304"/>
    <x v="62"/>
    <s v="CUST1148"/>
    <s v="Kolkata"/>
    <x v="3"/>
    <x v="4"/>
    <x v="3"/>
    <x v="3"/>
    <n v="4"/>
    <n v="31255.200000000001"/>
    <n v="0.05"/>
    <x v="303"/>
    <n v="109857.05"/>
    <n v="8912.7099999999991"/>
    <n v="125020.8"/>
    <n v="6251.0400000000009"/>
    <n v="7.5041913025672518"/>
  </r>
  <r>
    <s v="ORD10305"/>
    <x v="76"/>
    <s v="CUST1047"/>
    <s v="Jaipur"/>
    <x v="1"/>
    <x v="7"/>
    <x v="0"/>
    <x v="4"/>
    <n v="7"/>
    <n v="9747.69"/>
    <n v="0"/>
    <x v="304"/>
    <n v="48857.72"/>
    <n v="19376.11"/>
    <n v="68233.83"/>
    <n v="0"/>
    <n v="28.396632579469745"/>
  </r>
  <r>
    <s v="ORD10306"/>
    <x v="182"/>
    <s v="CUST1145"/>
    <s v="Patna"/>
    <x v="3"/>
    <x v="1"/>
    <x v="1"/>
    <x v="5"/>
    <n v="5"/>
    <n v="939.4"/>
    <n v="0"/>
    <x v="305"/>
    <n v="3528.85"/>
    <n v="1168.1500000000001"/>
    <n v="4697"/>
    <n v="0"/>
    <n v="24.870129870129873"/>
  </r>
  <r>
    <s v="ORD10307"/>
    <x v="183"/>
    <s v="CUST1091"/>
    <s v="Kolkata"/>
    <x v="3"/>
    <x v="4"/>
    <x v="3"/>
    <x v="1"/>
    <n v="6"/>
    <n v="47538.43"/>
    <n v="0.05"/>
    <x v="306"/>
    <n v="241043.32"/>
    <n v="29925.73"/>
    <n v="285230.58"/>
    <n v="14261.529000000002"/>
    <n v="11.043966091330356"/>
  </r>
  <r>
    <s v="ORD10308"/>
    <x v="184"/>
    <s v="CUST1078"/>
    <s v="Nagpur"/>
    <x v="0"/>
    <x v="8"/>
    <x v="1"/>
    <x v="2"/>
    <n v="6"/>
    <n v="5321.41"/>
    <n v="0"/>
    <x v="307"/>
    <n v="24042.639999999999"/>
    <n v="7885.82"/>
    <n v="31928.46"/>
    <n v="0"/>
    <n v="24.698403869149967"/>
  </r>
  <r>
    <s v="ORD10309"/>
    <x v="185"/>
    <s v="CUST1083"/>
    <s v="Mumbai"/>
    <x v="4"/>
    <x v="3"/>
    <x v="2"/>
    <x v="4"/>
    <n v="6"/>
    <n v="16114.66"/>
    <n v="0.1"/>
    <x v="308"/>
    <n v="75393.009999999995"/>
    <n v="11626.15"/>
    <n v="96687.959999999992"/>
    <n v="9668.7960000000003"/>
    <n v="13.360448434574637"/>
  </r>
  <r>
    <s v="ORD10310"/>
    <x v="186"/>
    <s v="CUST1119"/>
    <s v="Chennai"/>
    <x v="2"/>
    <x v="8"/>
    <x v="1"/>
    <x v="6"/>
    <n v="6"/>
    <n v="11803.43"/>
    <n v="0.05"/>
    <x v="309"/>
    <n v="56540.55"/>
    <n v="10739"/>
    <n v="70820.58"/>
    <n v="3541.0290000000005"/>
    <n v="15.96175955398037"/>
  </r>
  <r>
    <s v="ORD10311"/>
    <x v="187"/>
    <s v="CUST1120"/>
    <s v="Nagpur"/>
    <x v="0"/>
    <x v="1"/>
    <x v="1"/>
    <x v="3"/>
    <n v="1"/>
    <n v="3070.93"/>
    <n v="0"/>
    <x v="310"/>
    <n v="2605.34"/>
    <n v="465.59"/>
    <n v="3070.93"/>
    <n v="0"/>
    <n v="15.161205237501344"/>
  </r>
  <r>
    <s v="ORD10312"/>
    <x v="5"/>
    <s v="CUST1068"/>
    <s v="Bhubaneswar"/>
    <x v="3"/>
    <x v="1"/>
    <x v="1"/>
    <x v="3"/>
    <n v="3"/>
    <n v="2048.4"/>
    <n v="0.05"/>
    <x v="311"/>
    <n v="4507.79"/>
    <n v="1330.15"/>
    <n v="6145.2000000000007"/>
    <n v="307.26000000000005"/>
    <n v="22.784578121734725"/>
  </r>
  <r>
    <s v="ORD10313"/>
    <x v="6"/>
    <s v="CUST1016"/>
    <s v="Pune"/>
    <x v="4"/>
    <x v="3"/>
    <x v="2"/>
    <x v="0"/>
    <n v="6"/>
    <n v="13929.79"/>
    <n v="0.1"/>
    <x v="312"/>
    <n v="66025.899999999994"/>
    <n v="9194.9699999999993"/>
    <n v="83578.740000000005"/>
    <n v="8357.8740000000016"/>
    <n v="12.223961249052291"/>
  </r>
  <r>
    <s v="ORD10314"/>
    <x v="188"/>
    <s v="CUST1069"/>
    <s v="Mumbai"/>
    <x v="4"/>
    <x v="5"/>
    <x v="3"/>
    <x v="7"/>
    <n v="6"/>
    <n v="19497.75"/>
    <n v="0.1"/>
    <x v="313"/>
    <n v="92976.53"/>
    <n v="12311.32"/>
    <n v="116986.5"/>
    <n v="11698.650000000001"/>
    <n v="11.693011111918421"/>
  </r>
  <r>
    <s v="ORD10315"/>
    <x v="13"/>
    <s v="CUST1065"/>
    <s v="Mumbai"/>
    <x v="4"/>
    <x v="1"/>
    <x v="1"/>
    <x v="7"/>
    <n v="5"/>
    <n v="1194.2"/>
    <n v="0"/>
    <x v="314"/>
    <n v="4401.1499999999996"/>
    <n v="1569.85"/>
    <n v="5971"/>
    <n v="0"/>
    <n v="26.291240998157761"/>
  </r>
  <r>
    <s v="ORD10316"/>
    <x v="44"/>
    <s v="CUST1051"/>
    <s v="Bhubaneswar"/>
    <x v="3"/>
    <x v="3"/>
    <x v="2"/>
    <x v="4"/>
    <n v="4"/>
    <n v="14179.58"/>
    <n v="0"/>
    <x v="315"/>
    <n v="46914.52"/>
    <n v="9803.7999999999993"/>
    <n v="56718.32"/>
    <n v="0"/>
    <n v="17.285067681835429"/>
  </r>
  <r>
    <s v="ORD10317"/>
    <x v="189"/>
    <s v="CUST1067"/>
    <s v="Ahmedabad"/>
    <x v="4"/>
    <x v="8"/>
    <x v="1"/>
    <x v="4"/>
    <n v="4"/>
    <n v="8505.4"/>
    <n v="0"/>
    <x v="316"/>
    <n v="28238.39"/>
    <n v="5783.21"/>
    <n v="34021.599999999999"/>
    <n v="0"/>
    <n v="16.998642039175113"/>
  </r>
  <r>
    <s v="ORD10318"/>
    <x v="86"/>
    <s v="Unkown"/>
    <s v="Jaipur"/>
    <x v="1"/>
    <x v="4"/>
    <x v="3"/>
    <x v="4"/>
    <n v="1"/>
    <n v="38644.86"/>
    <n v="0.05"/>
    <x v="317"/>
    <n v="32414.7"/>
    <n v="4297.92"/>
    <n v="38644.86"/>
    <n v="1932.2430000000002"/>
    <n v="11.706928026384388"/>
  </r>
  <r>
    <s v="ORD10319"/>
    <x v="190"/>
    <s v="CUST1124"/>
    <s v="Pune"/>
    <x v="4"/>
    <x v="9"/>
    <x v="3"/>
    <x v="1"/>
    <n v="6"/>
    <n v="46590.64"/>
    <n v="0"/>
    <x v="318"/>
    <n v="253266.05"/>
    <n v="26277.79"/>
    <n v="279543.83999999997"/>
    <n v="0"/>
    <n v="9.4002393327644054"/>
  </r>
  <r>
    <s v="ORD10320"/>
    <x v="146"/>
    <s v="CUST1056"/>
    <s v="Kolkata"/>
    <x v="3"/>
    <x v="9"/>
    <x v="3"/>
    <x v="6"/>
    <n v="6"/>
    <n v="69900.789999999994"/>
    <n v="0.05"/>
    <x v="319"/>
    <n v="355376.35"/>
    <n v="43058.15"/>
    <n v="419404.74"/>
    <n v="20970.237000000001"/>
    <n v="10.806832741642603"/>
  </r>
  <r>
    <s v="ORD10321"/>
    <x v="54"/>
    <s v="CUST1124"/>
    <s v="Kolkata"/>
    <x v="3"/>
    <x v="6"/>
    <x v="3"/>
    <x v="6"/>
    <n v="1"/>
    <n v="31207.54"/>
    <n v="0"/>
    <x v="320"/>
    <n v="27972.19"/>
    <n v="3235.35"/>
    <n v="31207.54"/>
    <n v="0"/>
    <n v="10.367206130313379"/>
  </r>
  <r>
    <s v="ORD10322"/>
    <x v="148"/>
    <s v="CUST1009"/>
    <s v="Delhi"/>
    <x v="1"/>
    <x v="1"/>
    <x v="1"/>
    <x v="7"/>
    <n v="6"/>
    <n v="2641.86"/>
    <n v="0"/>
    <x v="321"/>
    <n v="13382.02"/>
    <n v="2469.14"/>
    <n v="15851.16"/>
    <n v="0"/>
    <n v="15.57703032459454"/>
  </r>
  <r>
    <s v="ORD10323"/>
    <x v="26"/>
    <s v="CUST1041"/>
    <s v="Mumbai"/>
    <x v="4"/>
    <x v="3"/>
    <x v="2"/>
    <x v="5"/>
    <n v="5"/>
    <n v="25636.959999999999"/>
    <n v="0"/>
    <x v="322"/>
    <n v="107561.22"/>
    <n v="20623.580000000002"/>
    <n v="128184.79999999999"/>
    <n v="0"/>
    <n v="16.088943462875474"/>
  </r>
  <r>
    <s v="ORD10324"/>
    <x v="2"/>
    <s v="CUST1108"/>
    <s v="Hyderabad"/>
    <x v="2"/>
    <x v="5"/>
    <x v="3"/>
    <x v="2"/>
    <n v="7"/>
    <n v="24616.720000000001"/>
    <n v="0"/>
    <x v="323"/>
    <n v="154135.54999999999"/>
    <n v="18181.490000000002"/>
    <n v="172317.04"/>
    <n v="0"/>
    <n v="10.551185187489294"/>
  </r>
  <r>
    <s v="ORD10325"/>
    <x v="130"/>
    <s v="CUST1103"/>
    <s v="Jaipur"/>
    <x v="1"/>
    <x v="1"/>
    <x v="1"/>
    <x v="3"/>
    <n v="5"/>
    <n v="1884.33"/>
    <n v="0"/>
    <x v="324"/>
    <n v="6999.41"/>
    <n v="2422.2399999999998"/>
    <n v="9421.65"/>
    <n v="0"/>
    <n v="25.70929720378065"/>
  </r>
  <r>
    <s v="ORD10326"/>
    <x v="174"/>
    <s v="CUST1084"/>
    <s v="Bhopal"/>
    <x v="0"/>
    <x v="0"/>
    <x v="0"/>
    <x v="1"/>
    <n v="6"/>
    <n v="25120.49"/>
    <n v="0"/>
    <x v="325"/>
    <n v="121947.99"/>
    <n v="28774.95"/>
    <n v="150722.94"/>
    <n v="0"/>
    <n v="19.091287630137789"/>
  </r>
  <r>
    <s v="ORD10327"/>
    <x v="191"/>
    <s v="CUST1084"/>
    <s v="Pune"/>
    <x v="4"/>
    <x v="8"/>
    <x v="1"/>
    <x v="6"/>
    <n v="7"/>
    <n v="5345.46"/>
    <n v="0.05"/>
    <x v="326"/>
    <n v="30855.17"/>
    <n v="4692.1400000000003"/>
    <n v="37418.22"/>
    <n v="1870.9110000000001"/>
    <n v="13.199704844051494"/>
  </r>
  <r>
    <s v="ORD10328"/>
    <x v="132"/>
    <s v="CUST1105"/>
    <s v="Chennai"/>
    <x v="2"/>
    <x v="2"/>
    <x v="1"/>
    <x v="1"/>
    <n v="1"/>
    <n v="4229.1899999999996"/>
    <n v="0.1"/>
    <x v="327"/>
    <n v="2968.02"/>
    <n v="838.25"/>
    <n v="4229.1899999999996"/>
    <n v="422.91899999999998"/>
    <n v="22.022872786218528"/>
  </r>
  <r>
    <s v="ORD10329"/>
    <x v="192"/>
    <s v="CUST1084"/>
    <s v="Bhubaneswar"/>
    <x v="3"/>
    <x v="4"/>
    <x v="3"/>
    <x v="4"/>
    <n v="1"/>
    <n v="21943.57"/>
    <n v="0.05"/>
    <x v="328"/>
    <n v="17956.400000000001"/>
    <n v="2889.99"/>
    <n v="21943.57"/>
    <n v="1097.1785"/>
    <n v="13.863263615426938"/>
  </r>
  <r>
    <s v="ORD10330"/>
    <x v="126"/>
    <s v="CUST1081"/>
    <s v="Bhopal"/>
    <x v="0"/>
    <x v="4"/>
    <x v="3"/>
    <x v="6"/>
    <n v="3"/>
    <n v="41499.58"/>
    <n v="0.05"/>
    <x v="329"/>
    <n v="109664.37"/>
    <n v="8609.43"/>
    <n v="124498.74"/>
    <n v="6224.9370000000008"/>
    <n v="7.2792368216798646"/>
  </r>
  <r>
    <s v="ORD10331"/>
    <x v="68"/>
    <s v="CUST1049"/>
    <s v="Ahmedabad"/>
    <x v="4"/>
    <x v="9"/>
    <x v="3"/>
    <x v="5"/>
    <n v="7"/>
    <n v="48375.7"/>
    <n v="0"/>
    <x v="330"/>
    <n v="307374.25"/>
    <n v="31255.65"/>
    <n v="338629.89999999997"/>
    <n v="0"/>
    <n v="9.2300325517622621"/>
  </r>
  <r>
    <s v="ORD10332"/>
    <x v="52"/>
    <s v="CUST1146"/>
    <s v="Lucknow"/>
    <x v="1"/>
    <x v="7"/>
    <x v="0"/>
    <x v="3"/>
    <n v="6"/>
    <n v="18884.29"/>
    <n v="0.1"/>
    <x v="331"/>
    <n v="75145.59"/>
    <n v="26829.58"/>
    <n v="113305.74"/>
    <n v="11330.574000000001"/>
    <n v="26.309914462510825"/>
  </r>
  <r>
    <s v="ORD10333"/>
    <x v="127"/>
    <s v="CUST1098"/>
    <s v="Kolkata"/>
    <x v="3"/>
    <x v="7"/>
    <x v="0"/>
    <x v="7"/>
    <n v="6"/>
    <n v="14223.08"/>
    <n v="0.1"/>
    <x v="332"/>
    <n v="58865.35"/>
    <n v="17939.28"/>
    <n v="85338.48"/>
    <n v="8533.848"/>
    <n v="23.35702938742104"/>
  </r>
  <r>
    <s v="ORD10334"/>
    <x v="193"/>
    <s v="CUST1057"/>
    <s v="Chennai"/>
    <x v="2"/>
    <x v="3"/>
    <x v="2"/>
    <x v="4"/>
    <n v="3"/>
    <n v="16343.65"/>
    <n v="0.05"/>
    <x v="333"/>
    <n v="39846.78"/>
    <n v="6732.62"/>
    <n v="49030.95"/>
    <n v="2451.5475000000001"/>
    <n v="14.454071971729993"/>
  </r>
  <r>
    <s v="ORD10335"/>
    <x v="1"/>
    <s v="CUST1056"/>
    <s v="Chennai"/>
    <x v="2"/>
    <x v="9"/>
    <x v="3"/>
    <x v="6"/>
    <n v="2"/>
    <n v="66032.5"/>
    <n v="0"/>
    <x v="334"/>
    <n v="115814.01"/>
    <n v="16250.99"/>
    <n v="132065"/>
    <n v="0"/>
    <n v="12.305296634233143"/>
  </r>
  <r>
    <s v="ORD10336"/>
    <x v="194"/>
    <s v="CUST1126"/>
    <s v="Patna"/>
    <x v="3"/>
    <x v="8"/>
    <x v="1"/>
    <x v="2"/>
    <n v="2"/>
    <n v="4869.5"/>
    <n v="0.05"/>
    <x v="335"/>
    <n v="7375.76"/>
    <n v="1876.29"/>
    <n v="9739"/>
    <n v="486.95000000000005"/>
    <n v="20.279721791386777"/>
  </r>
  <r>
    <s v="ORD10337"/>
    <x v="195"/>
    <s v="CUST1031"/>
    <s v="Bhopal"/>
    <x v="0"/>
    <x v="0"/>
    <x v="0"/>
    <x v="3"/>
    <n v="4"/>
    <n v="14656.47"/>
    <n v="0.05"/>
    <x v="336"/>
    <n v="43042.86"/>
    <n v="12651.73"/>
    <n v="58625.88"/>
    <n v="2931.2939999999999"/>
    <n v="22.716263823829209"/>
  </r>
  <r>
    <s v="ORD10338"/>
    <x v="19"/>
    <s v="CUST1107"/>
    <s v="Kolkata"/>
    <x v="3"/>
    <x v="4"/>
    <x v="3"/>
    <x v="7"/>
    <n v="3"/>
    <n v="39279.480000000003"/>
    <n v="0.05"/>
    <x v="337"/>
    <n v="103861.63"/>
    <n v="8084.89"/>
    <n v="117838.44"/>
    <n v="5891.9220000000005"/>
    <n v="7.222100338625979"/>
  </r>
  <r>
    <s v="ORD10339"/>
    <x v="144"/>
    <s v="CUST1122"/>
    <s v="Ahmedabad"/>
    <x v="4"/>
    <x v="4"/>
    <x v="3"/>
    <x v="0"/>
    <n v="5"/>
    <n v="30660.31"/>
    <n v="0.05"/>
    <x v="338"/>
    <n v="133107.07"/>
    <n v="12529.4"/>
    <n v="153301.55000000002"/>
    <n v="7665.0775000000012"/>
    <n v="8.6032022061506979"/>
  </r>
  <r>
    <s v="ORD10340"/>
    <x v="26"/>
    <s v="CUST1113"/>
    <s v="Bengaluru"/>
    <x v="2"/>
    <x v="1"/>
    <x v="1"/>
    <x v="0"/>
    <n v="6"/>
    <n v="2790.83"/>
    <n v="0.05"/>
    <x v="339"/>
    <n v="11811.94"/>
    <n v="4095.79"/>
    <n v="16744.98"/>
    <n v="837.24900000000002"/>
    <n v="25.747168200616933"/>
  </r>
  <r>
    <s v="ORD10341"/>
    <x v="196"/>
    <s v="CUST1049"/>
    <s v="Hyderabad"/>
    <x v="2"/>
    <x v="8"/>
    <x v="1"/>
    <x v="0"/>
    <n v="6"/>
    <n v="1534.13"/>
    <n v="0.05"/>
    <x v="340"/>
    <n v="7519.96"/>
    <n v="1224.58"/>
    <n v="9204.7800000000007"/>
    <n v="460.23900000000003"/>
    <n v="14.00393845759754"/>
  </r>
  <r>
    <s v="ORD10342"/>
    <x v="197"/>
    <s v="CUST1109"/>
    <s v="Kolkata"/>
    <x v="3"/>
    <x v="6"/>
    <x v="3"/>
    <x v="2"/>
    <n v="7"/>
    <n v="15419.59"/>
    <n v="0"/>
    <x v="341"/>
    <n v="93880.12"/>
    <n v="14057.01"/>
    <n v="107937.13"/>
    <n v="0"/>
    <n v="13.023331267007007"/>
  </r>
  <r>
    <s v="ORD10343"/>
    <x v="174"/>
    <s v="CUST1068"/>
    <s v="Mumbai"/>
    <x v="4"/>
    <x v="1"/>
    <x v="1"/>
    <x v="2"/>
    <n v="4"/>
    <n v="2238.2800000000002"/>
    <n v="0"/>
    <x v="342"/>
    <n v="6643.31"/>
    <n v="2309.81"/>
    <n v="8953.1200000000008"/>
    <n v="0"/>
    <n v="25.798939364154617"/>
  </r>
  <r>
    <s v="ORD10344"/>
    <x v="198"/>
    <s v="CUST1017"/>
    <s v="Patna"/>
    <x v="3"/>
    <x v="0"/>
    <x v="0"/>
    <x v="2"/>
    <n v="5"/>
    <n v="27993.99"/>
    <n v="0.05"/>
    <x v="343"/>
    <n v="103894.88"/>
    <n v="29076.57"/>
    <n v="139969.95000000001"/>
    <n v="6998.4975000000013"/>
    <n v="21.866776665216477"/>
  </r>
  <r>
    <s v="ORD10345"/>
    <x v="183"/>
    <s v="CUST1008"/>
    <s v="Pune"/>
    <x v="4"/>
    <x v="0"/>
    <x v="0"/>
    <x v="3"/>
    <n v="2"/>
    <n v="13842.29"/>
    <n v="0.05"/>
    <x v="344"/>
    <n v="19785.8"/>
    <n v="6514.55"/>
    <n v="27684.58"/>
    <n v="1384.2290000000003"/>
    <n v="24.769822454834252"/>
  </r>
  <r>
    <s v="ORD10346"/>
    <x v="14"/>
    <s v="CUST1098"/>
    <s v="Mumbai"/>
    <x v="4"/>
    <x v="1"/>
    <x v="1"/>
    <x v="2"/>
    <n v="3"/>
    <n v="3080.7"/>
    <n v="0"/>
    <x v="345"/>
    <n v="7143.29"/>
    <n v="2098.81"/>
    <n v="9242.0999999999985"/>
    <n v="0"/>
    <n v="22.709232750132543"/>
  </r>
  <r>
    <s v="ORD10347"/>
    <x v="162"/>
    <s v="CUST1020"/>
    <s v="Patna"/>
    <x v="3"/>
    <x v="6"/>
    <x v="3"/>
    <x v="6"/>
    <n v="3"/>
    <n v="12396.96"/>
    <n v="0.05"/>
    <x v="346"/>
    <n v="31594.2"/>
    <n v="3737.14"/>
    <n v="37190.879999999997"/>
    <n v="1859.5439999999999"/>
    <n v="10.577408046227514"/>
  </r>
  <r>
    <s v="ORD10348"/>
    <x v="184"/>
    <s v="CUST1052"/>
    <s v="Bengaluru"/>
    <x v="2"/>
    <x v="6"/>
    <x v="3"/>
    <x v="7"/>
    <n v="3"/>
    <n v="12868.7"/>
    <n v="0.05"/>
    <x v="347"/>
    <n v="32664.67"/>
    <n v="4011.13"/>
    <n v="38606.100000000006"/>
    <n v="1930.3050000000003"/>
    <n v="10.936721216715108"/>
  </r>
  <r>
    <s v="ORD10349"/>
    <x v="199"/>
    <s v="CUST1143"/>
    <s v="Patna"/>
    <x v="3"/>
    <x v="7"/>
    <x v="0"/>
    <x v="2"/>
    <n v="6"/>
    <n v="11380.61"/>
    <n v="0.05"/>
    <x v="348"/>
    <n v="48812.639999999999"/>
    <n v="16056.84"/>
    <n v="68283.66"/>
    <n v="3414.1830000000004"/>
    <n v="24.752533857216058"/>
  </r>
  <r>
    <s v="ORD10350"/>
    <x v="21"/>
    <s v="CUST1092"/>
    <s v="Lucknow"/>
    <x v="1"/>
    <x v="5"/>
    <x v="3"/>
    <x v="2"/>
    <n v="3"/>
    <n v="28163.81"/>
    <n v="0.1"/>
    <x v="349"/>
    <n v="67598.7"/>
    <n v="8443.59"/>
    <n v="84491.430000000008"/>
    <n v="8449.1430000000018"/>
    <n v="11.103808157276696"/>
  </r>
  <r>
    <s v="ORD10351"/>
    <x v="104"/>
    <s v="CUST1116"/>
    <s v="Patna"/>
    <x v="3"/>
    <x v="8"/>
    <x v="1"/>
    <x v="0"/>
    <n v="3"/>
    <n v="9911.16"/>
    <n v="0"/>
    <x v="350"/>
    <n v="25743.119999999999"/>
    <n v="3990.36"/>
    <n v="29733.48"/>
    <n v="0"/>
    <n v="13.42042707412654"/>
  </r>
  <r>
    <s v="ORD10352"/>
    <x v="132"/>
    <s v="CUST1031"/>
    <s v="Jaipur"/>
    <x v="1"/>
    <x v="5"/>
    <x v="3"/>
    <x v="5"/>
    <n v="3"/>
    <n v="20733.169999999998"/>
    <n v="0"/>
    <x v="351"/>
    <n v="54988.17"/>
    <n v="7211.34"/>
    <n v="62199.509999999995"/>
    <n v="0"/>
    <n v="11.593885546686783"/>
  </r>
  <r>
    <s v="ORD10353"/>
    <x v="29"/>
    <s v="CUST1064"/>
    <s v="Pune"/>
    <x v="4"/>
    <x v="6"/>
    <x v="3"/>
    <x v="4"/>
    <n v="3"/>
    <n v="26880.77"/>
    <n v="0.1"/>
    <x v="352"/>
    <n v="61493.77"/>
    <n v="11084.31"/>
    <n v="80642.31"/>
    <n v="8064.2309999999998"/>
    <n v="15.272255755456744"/>
  </r>
  <r>
    <s v="ORD10354"/>
    <x v="200"/>
    <s v="CUST1019"/>
    <s v="Pune"/>
    <x v="4"/>
    <x v="3"/>
    <x v="2"/>
    <x v="1"/>
    <n v="6"/>
    <n v="12690.24"/>
    <n v="0.15"/>
    <x v="353"/>
    <n v="58179.360000000001"/>
    <n v="6540.86"/>
    <n v="76141.440000000002"/>
    <n v="11421.216"/>
    <n v="10.106362432018926"/>
  </r>
  <r>
    <s v="ORD10355"/>
    <x v="6"/>
    <s v="CUST1025"/>
    <s v="Bengaluru"/>
    <x v="2"/>
    <x v="9"/>
    <x v="3"/>
    <x v="0"/>
    <n v="6"/>
    <n v="48592.49"/>
    <n v="0"/>
    <x v="354"/>
    <n v="246717.59"/>
    <n v="44837.35"/>
    <n v="291554.94"/>
    <n v="0"/>
    <n v="15.378696721791096"/>
  </r>
  <r>
    <s v="ORD10356"/>
    <x v="76"/>
    <s v="CUST1001"/>
    <s v="Patna"/>
    <x v="3"/>
    <x v="1"/>
    <x v="1"/>
    <x v="3"/>
    <n v="5"/>
    <n v="823.8"/>
    <n v="0.1"/>
    <x v="355"/>
    <n v="2761.07"/>
    <n v="946.03"/>
    <n v="4119"/>
    <n v="411.90000000000003"/>
    <n v="25.519408702220066"/>
  </r>
  <r>
    <s v="ORD10357"/>
    <x v="173"/>
    <s v="CUST1102"/>
    <s v="Pune"/>
    <x v="4"/>
    <x v="0"/>
    <x v="0"/>
    <x v="2"/>
    <n v="2"/>
    <n v="15381.1"/>
    <n v="0"/>
    <x v="356"/>
    <n v="24335.82"/>
    <n v="6426.38"/>
    <n v="30762.2"/>
    <n v="0"/>
    <n v="20.890508481187954"/>
  </r>
  <r>
    <s v="ORD10358"/>
    <x v="130"/>
    <s v="CUST1145"/>
    <s v="Ahmedabad"/>
    <x v="4"/>
    <x v="4"/>
    <x v="3"/>
    <x v="5"/>
    <n v="3"/>
    <n v="15304.44"/>
    <n v="0.05"/>
    <x v="357"/>
    <n v="39824.620000000003"/>
    <n v="3793.03"/>
    <n v="45913.32"/>
    <n v="2295.6660000000002"/>
    <n v="8.6960897709986682"/>
  </r>
  <r>
    <s v="ORD10359"/>
    <x v="197"/>
    <s v="CUST1034"/>
    <s v="Bengaluru"/>
    <x v="2"/>
    <x v="6"/>
    <x v="3"/>
    <x v="5"/>
    <n v="2"/>
    <n v="10305.879999999999"/>
    <n v="0.05"/>
    <x v="358"/>
    <n v="16317.27"/>
    <n v="3263.9"/>
    <n v="20611.759999999998"/>
    <n v="1030.588"/>
    <n v="16.668564748684581"/>
  </r>
  <r>
    <s v="ORD10360"/>
    <x v="38"/>
    <s v="CUST1039"/>
    <s v="Bhubaneswar"/>
    <x v="3"/>
    <x v="0"/>
    <x v="0"/>
    <x v="6"/>
    <n v="3"/>
    <n v="15507.16"/>
    <n v="0"/>
    <x v="359"/>
    <n v="35821.96"/>
    <n v="10699.52"/>
    <n v="46521.479999999996"/>
    <n v="0"/>
    <n v="22.999096331415078"/>
  </r>
  <r>
    <s v="ORD10361"/>
    <x v="201"/>
    <s v="CUST1031"/>
    <s v="Bhubaneswar"/>
    <x v="3"/>
    <x v="1"/>
    <x v="1"/>
    <x v="6"/>
    <n v="3"/>
    <n v="941.41"/>
    <n v="0"/>
    <x v="360"/>
    <n v="2162.75"/>
    <n v="661.48"/>
    <n v="2824.23"/>
    <n v="0"/>
    <n v="23.421605180881162"/>
  </r>
  <r>
    <s v="ORD10362"/>
    <x v="159"/>
    <s v="CUST1014"/>
    <s v="Delhi"/>
    <x v="1"/>
    <x v="2"/>
    <x v="1"/>
    <x v="1"/>
    <n v="6"/>
    <n v="6479.85"/>
    <n v="0"/>
    <x v="361"/>
    <n v="30251.279999999999"/>
    <n v="8627.82"/>
    <n v="38879.100000000006"/>
    <n v="0"/>
    <n v="22.191408751745797"/>
  </r>
  <r>
    <s v="ORD10363"/>
    <x v="9"/>
    <s v="CUST1012"/>
    <s v="Jaipur"/>
    <x v="1"/>
    <x v="6"/>
    <x v="3"/>
    <x v="5"/>
    <n v="4"/>
    <n v="23645.51"/>
    <n v="0"/>
    <x v="362"/>
    <n v="77790.45"/>
    <n v="16791.59"/>
    <n v="94582.04"/>
    <n v="0"/>
    <n v="17.753465668534957"/>
  </r>
  <r>
    <s v="ORD10364"/>
    <x v="202"/>
    <s v="CUST1093"/>
    <s v="Pune"/>
    <x v="4"/>
    <x v="3"/>
    <x v="2"/>
    <x v="1"/>
    <n v="7"/>
    <n v="23967.49"/>
    <n v="0"/>
    <x v="363"/>
    <n v="147189.31"/>
    <n v="20583.12"/>
    <n v="167772.43000000002"/>
    <n v="0"/>
    <n v="12.268475815722525"/>
  </r>
  <r>
    <s v="ORD10365"/>
    <x v="117"/>
    <s v="CUST1121"/>
    <s v="Nagpur"/>
    <x v="0"/>
    <x v="6"/>
    <x v="3"/>
    <x v="7"/>
    <n v="2"/>
    <n v="32288.89"/>
    <n v="0.05"/>
    <x v="364"/>
    <n v="53125.86"/>
    <n v="8223.0300000000007"/>
    <n v="64577.78"/>
    <n v="3228.8890000000001"/>
    <n v="13.403714394832573"/>
  </r>
  <r>
    <s v="ORD10366"/>
    <x v="189"/>
    <s v="CUST1100"/>
    <s v="Chennai"/>
    <x v="2"/>
    <x v="3"/>
    <x v="2"/>
    <x v="1"/>
    <n v="3"/>
    <n v="14645.61"/>
    <n v="0.05"/>
    <x v="365"/>
    <n v="33225.629999999997"/>
    <n v="8514.36"/>
    <n v="43936.83"/>
    <n v="2196.8415"/>
    <n v="20.398567417002258"/>
  </r>
  <r>
    <s v="ORD10367"/>
    <x v="54"/>
    <s v="CUST1060"/>
    <s v="Ahmedabad"/>
    <x v="4"/>
    <x v="9"/>
    <x v="3"/>
    <x v="2"/>
    <n v="4"/>
    <n v="60092.55"/>
    <n v="0.05"/>
    <x v="366"/>
    <n v="207434.16"/>
    <n v="20917.53"/>
    <n v="240370.2"/>
    <n v="12018.510000000002"/>
    <n v="9.1602256151465298"/>
  </r>
  <r>
    <s v="ORD10368"/>
    <x v="49"/>
    <s v="CUST1101"/>
    <s v="Jaipur"/>
    <x v="1"/>
    <x v="7"/>
    <x v="0"/>
    <x v="6"/>
    <n v="7"/>
    <n v="5074.18"/>
    <n v="0"/>
    <x v="367"/>
    <n v="25394.09"/>
    <n v="10125.17"/>
    <n v="35519.26"/>
    <n v="0"/>
    <n v="28.506140049088856"/>
  </r>
  <r>
    <s v="ORD10369"/>
    <x v="203"/>
    <s v="CUST1140"/>
    <s v="Chennai"/>
    <x v="2"/>
    <x v="9"/>
    <x v="3"/>
    <x v="0"/>
    <n v="1"/>
    <n v="72044.33"/>
    <n v="0"/>
    <x v="368"/>
    <n v="65521.69"/>
    <n v="6522.64"/>
    <n v="72044.33"/>
    <n v="0"/>
    <n v="9.053647941482696"/>
  </r>
  <r>
    <s v="ORD10370"/>
    <x v="154"/>
    <s v="CUST1105"/>
    <s v="Nagpur"/>
    <x v="0"/>
    <x v="7"/>
    <x v="0"/>
    <x v="3"/>
    <n v="1"/>
    <n v="13506.82"/>
    <n v="0.05"/>
    <x v="369"/>
    <n v="10350.93"/>
    <n v="2480.5500000000002"/>
    <n v="13506.82"/>
    <n v="675.34100000000001"/>
    <n v="19.331752845345978"/>
  </r>
  <r>
    <s v="ORD10371"/>
    <x v="50"/>
    <s v="CUST1054"/>
    <s v="Pune"/>
    <x v="4"/>
    <x v="1"/>
    <x v="1"/>
    <x v="7"/>
    <n v="7"/>
    <n v="4253.16"/>
    <n v="0.05"/>
    <x v="370"/>
    <n v="22676.28"/>
    <n v="5607.23"/>
    <n v="29772.12"/>
    <n v="1488.606"/>
    <n v="19.825085358924689"/>
  </r>
  <r>
    <s v="ORD10372"/>
    <x v="1"/>
    <s v="CUST1036"/>
    <s v="Kolkata"/>
    <x v="3"/>
    <x v="7"/>
    <x v="0"/>
    <x v="1"/>
    <n v="2"/>
    <n v="15331.79"/>
    <n v="0"/>
    <x v="371"/>
    <n v="21719.11"/>
    <n v="8944.4699999999993"/>
    <n v="30663.58"/>
    <n v="0"/>
    <n v="29.169685992307482"/>
  </r>
  <r>
    <s v="ORD10373"/>
    <x v="169"/>
    <s v="CUST1065"/>
    <s v="Chennai"/>
    <x v="2"/>
    <x v="6"/>
    <x v="3"/>
    <x v="3"/>
    <n v="5"/>
    <n v="25765.65"/>
    <n v="0.05"/>
    <x v="372"/>
    <n v="104418.57"/>
    <n v="17968.27"/>
    <n v="128828.25"/>
    <n v="6441.4125000000004"/>
    <n v="14.681537655519172"/>
  </r>
  <r>
    <s v="ORD10374"/>
    <x v="128"/>
    <s v="CUST1044"/>
    <s v="Chennai"/>
    <x v="2"/>
    <x v="5"/>
    <x v="3"/>
    <x v="5"/>
    <n v="1"/>
    <n v="30672.27"/>
    <n v="0"/>
    <x v="373"/>
    <n v="27101.17"/>
    <n v="3571.1"/>
    <n v="30672.27"/>
    <n v="0"/>
    <n v="11.642763968887857"/>
  </r>
  <r>
    <s v="ORD10375"/>
    <x v="9"/>
    <s v="CUST1138"/>
    <s v="Bengaluru"/>
    <x v="2"/>
    <x v="1"/>
    <x v="1"/>
    <x v="2"/>
    <n v="2"/>
    <n v="4626.49"/>
    <n v="0"/>
    <x v="374"/>
    <n v="7715.43"/>
    <n v="1537.55"/>
    <n v="9252.98"/>
    <n v="0"/>
    <n v="16.616808855093172"/>
  </r>
  <r>
    <s v="ORD10376"/>
    <x v="82"/>
    <s v="CUST1122"/>
    <s v="Nagpur"/>
    <x v="0"/>
    <x v="9"/>
    <x v="3"/>
    <x v="3"/>
    <n v="4"/>
    <n v="81242.64"/>
    <n v="0"/>
    <x v="375"/>
    <n v="283891.19"/>
    <n v="41079.370000000003"/>
    <n v="324970.56"/>
    <n v="0"/>
    <n v="12.640951229551378"/>
  </r>
  <r>
    <s v="ORD10377"/>
    <x v="204"/>
    <s v="CUST1027"/>
    <s v="Mumbai"/>
    <x v="4"/>
    <x v="8"/>
    <x v="1"/>
    <x v="4"/>
    <n v="7"/>
    <n v="6113.12"/>
    <n v="0"/>
    <x v="376"/>
    <n v="36925.19"/>
    <n v="5866.65"/>
    <n v="42791.839999999997"/>
    <n v="0"/>
    <n v="13.70973998781076"/>
  </r>
  <r>
    <s v="ORD10378"/>
    <x v="142"/>
    <s v="CUST1033"/>
    <s v="Bengaluru"/>
    <x v="2"/>
    <x v="3"/>
    <x v="2"/>
    <x v="5"/>
    <n v="6"/>
    <n v="8884.9699999999993"/>
    <n v="0"/>
    <x v="377"/>
    <n v="45854.34"/>
    <n v="7455.48"/>
    <n v="53309.819999999992"/>
    <n v="0"/>
    <n v="13.985190720959102"/>
  </r>
  <r>
    <s v="ORD10379"/>
    <x v="79"/>
    <s v="CUST1111"/>
    <s v="Indore"/>
    <x v="0"/>
    <x v="3"/>
    <x v="2"/>
    <x v="2"/>
    <n v="3"/>
    <n v="14921.74"/>
    <n v="0.05"/>
    <x v="378"/>
    <n v="35475.74"/>
    <n v="7051.22"/>
    <n v="44765.22"/>
    <n v="2238.261"/>
    <n v="16.580587937628273"/>
  </r>
  <r>
    <s v="ORD10380"/>
    <x v="46"/>
    <s v="CUST1059"/>
    <s v="Hyderabad"/>
    <x v="2"/>
    <x v="0"/>
    <x v="0"/>
    <x v="3"/>
    <n v="1"/>
    <n v="23447.17"/>
    <n v="0"/>
    <x v="379"/>
    <n v="19112.93"/>
    <n v="4334.24"/>
    <n v="23447.17"/>
    <n v="0"/>
    <n v="18.48513061491003"/>
  </r>
  <r>
    <s v="ORD10381"/>
    <x v="94"/>
    <s v="CUST1004"/>
    <s v="Ahmedabad"/>
    <x v="4"/>
    <x v="3"/>
    <x v="2"/>
    <x v="1"/>
    <n v="2"/>
    <n v="28497.08"/>
    <n v="0.05"/>
    <x v="380"/>
    <n v="43873.61"/>
    <n v="10270.84"/>
    <n v="56994.16"/>
    <n v="2849.7080000000005"/>
    <n v="18.969331113345874"/>
  </r>
  <r>
    <s v="ORD10382"/>
    <x v="94"/>
    <s v="CUST1028"/>
    <s v="Lucknow"/>
    <x v="1"/>
    <x v="7"/>
    <x v="0"/>
    <x v="4"/>
    <n v="4"/>
    <n v="18348.22"/>
    <n v="0.05"/>
    <x v="381"/>
    <n v="49117.78"/>
    <n v="20605.46"/>
    <n v="73392.88"/>
    <n v="3669.6440000000002"/>
    <n v="29.553216402450598"/>
  </r>
  <r>
    <s v="ORD10383"/>
    <x v="201"/>
    <s v="CUST1045"/>
    <s v="Mumbai"/>
    <x v="4"/>
    <x v="2"/>
    <x v="1"/>
    <x v="2"/>
    <n v="2"/>
    <n v="3164.58"/>
    <n v="0.1"/>
    <x v="382"/>
    <n v="4319.67"/>
    <n v="1376.57"/>
    <n v="6329.16"/>
    <n v="632.91600000000005"/>
    <n v="24.166292150611632"/>
  </r>
  <r>
    <s v="ORD10384"/>
    <x v="24"/>
    <s v="CUST1065"/>
    <s v="Kolkata"/>
    <x v="3"/>
    <x v="1"/>
    <x v="1"/>
    <x v="6"/>
    <n v="4"/>
    <n v="3014.51"/>
    <n v="0"/>
    <x v="383"/>
    <n v="9192.6"/>
    <n v="2865.44"/>
    <n v="12058.04"/>
    <n v="0"/>
    <n v="23.763729428663364"/>
  </r>
  <r>
    <s v="ORD10385"/>
    <x v="104"/>
    <s v="CUST1026"/>
    <s v="Indore"/>
    <x v="0"/>
    <x v="6"/>
    <x v="3"/>
    <x v="6"/>
    <n v="4"/>
    <n v="16553.12"/>
    <n v="0.05"/>
    <x v="384"/>
    <n v="56230.31"/>
    <n v="6671.55"/>
    <n v="66212.479999999996"/>
    <n v="3310.6239999999998"/>
    <n v="10.606284138497655"/>
  </r>
  <r>
    <s v="ORD10386"/>
    <x v="14"/>
    <s v="CUST1015"/>
    <s v="Indore"/>
    <x v="0"/>
    <x v="8"/>
    <x v="1"/>
    <x v="7"/>
    <n v="6"/>
    <n v="3686.71"/>
    <n v="0"/>
    <x v="385"/>
    <n v="18597.63"/>
    <n v="3522.63"/>
    <n v="22120.260000000002"/>
    <n v="0"/>
    <n v="15.924903233506299"/>
  </r>
  <r>
    <s v="ORD10387"/>
    <x v="75"/>
    <s v="CUST1078"/>
    <s v="Bengaluru"/>
    <x v="2"/>
    <x v="1"/>
    <x v="1"/>
    <x v="1"/>
    <n v="6"/>
    <n v="4841.7"/>
    <n v="0"/>
    <x v="386"/>
    <n v="21645.14"/>
    <n v="7405.06"/>
    <n v="29050.199999999997"/>
    <n v="0"/>
    <n v="25.49056460884951"/>
  </r>
  <r>
    <s v="ORD10388"/>
    <x v="52"/>
    <s v="CUST1108"/>
    <s v="Bhubaneswar"/>
    <x v="3"/>
    <x v="5"/>
    <x v="3"/>
    <x v="6"/>
    <n v="5"/>
    <n v="16640.990000000002"/>
    <n v="0.05"/>
    <x v="387"/>
    <n v="67125.490000000005"/>
    <n v="11919.21"/>
    <n v="83204.950000000012"/>
    <n v="4160.2475000000004"/>
    <n v="15.079075510439029"/>
  </r>
  <r>
    <s v="ORD10389"/>
    <x v="205"/>
    <s v="CUST1068"/>
    <s v="Hyderabad"/>
    <x v="2"/>
    <x v="4"/>
    <x v="3"/>
    <x v="2"/>
    <n v="4"/>
    <n v="57689.25"/>
    <n v="0.05"/>
    <x v="388"/>
    <n v="203917.57"/>
    <n v="15301.58"/>
    <n v="230757"/>
    <n v="11537.85"/>
    <n v="6.9800380121900849"/>
  </r>
  <r>
    <s v="ORD10390"/>
    <x v="183"/>
    <s v="CUST1019"/>
    <s v="Jaipur"/>
    <x v="1"/>
    <x v="2"/>
    <x v="1"/>
    <x v="5"/>
    <n v="4"/>
    <n v="5941.59"/>
    <n v="0"/>
    <x v="389"/>
    <n v="19192.77"/>
    <n v="4573.59"/>
    <n v="23766.36"/>
    <n v="0"/>
    <n v="19.243964999267874"/>
  </r>
  <r>
    <s v="ORD10391"/>
    <x v="180"/>
    <s v="CUST1107"/>
    <s v="Nagpur"/>
    <x v="0"/>
    <x v="8"/>
    <x v="1"/>
    <x v="2"/>
    <n v="5"/>
    <n v="10157.43"/>
    <n v="0.1"/>
    <x v="390"/>
    <n v="34615.86"/>
    <n v="11092.58"/>
    <n v="50787.15"/>
    <n v="5078.7150000000001"/>
    <n v="24.268122036105368"/>
  </r>
  <r>
    <s v="ORD10392"/>
    <x v="206"/>
    <s v="CUST1094"/>
    <s v="Pune"/>
    <x v="4"/>
    <x v="4"/>
    <x v="3"/>
    <x v="6"/>
    <n v="5"/>
    <n v="52865.51"/>
    <n v="0.1"/>
    <x v="391"/>
    <n v="207068.86"/>
    <n v="30825.94"/>
    <n v="264327.55"/>
    <n v="26432.755000000001"/>
    <n v="12.957803197043399"/>
  </r>
  <r>
    <s v="ORD10393"/>
    <x v="207"/>
    <s v="CUST1074"/>
    <s v="Mumbai"/>
    <x v="4"/>
    <x v="8"/>
    <x v="1"/>
    <x v="3"/>
    <n v="6"/>
    <n v="7302.92"/>
    <n v="0.1"/>
    <x v="392"/>
    <n v="31611.78"/>
    <n v="7823.99"/>
    <n v="43817.520000000004"/>
    <n v="4381.7520000000004"/>
    <n v="19.839830691780584"/>
  </r>
  <r>
    <s v="ORD10394"/>
    <x v="154"/>
    <s v="CUST1066"/>
    <s v="Chennai"/>
    <x v="2"/>
    <x v="2"/>
    <x v="1"/>
    <x v="5"/>
    <n v="5"/>
    <n v="8340.4"/>
    <n v="0"/>
    <x v="393"/>
    <n v="34254.01"/>
    <n v="7447.99"/>
    <n v="41702"/>
    <n v="0"/>
    <n v="17.860030693971513"/>
  </r>
  <r>
    <s v="ORD10395"/>
    <x v="208"/>
    <s v="CUST1010"/>
    <s v="Nagpur"/>
    <x v="0"/>
    <x v="1"/>
    <x v="1"/>
    <x v="3"/>
    <n v="5"/>
    <n v="1832.39"/>
    <n v="0.05"/>
    <x v="394"/>
    <n v="6648.73"/>
    <n v="2055.12"/>
    <n v="9161.9500000000007"/>
    <n v="458.09750000000008"/>
    <n v="23.611620145108198"/>
  </r>
  <r>
    <s v="ORD10396"/>
    <x v="89"/>
    <s v="CUST1093"/>
    <s v="Nagpur"/>
    <x v="0"/>
    <x v="0"/>
    <x v="0"/>
    <x v="5"/>
    <n v="2"/>
    <n v="27791.81"/>
    <n v="0.15"/>
    <x v="395"/>
    <n v="39432.080000000002"/>
    <n v="7814"/>
    <n v="55583.62"/>
    <n v="8337.5429999999997"/>
    <n v="16.538938256888187"/>
  </r>
  <r>
    <s v="ORD10397"/>
    <x v="209"/>
    <s v="CUST1091"/>
    <s v="Ahmedabad"/>
    <x v="4"/>
    <x v="8"/>
    <x v="1"/>
    <x v="1"/>
    <n v="6"/>
    <n v="2179.79"/>
    <n v="0.1"/>
    <x v="396"/>
    <n v="8903.24"/>
    <n v="2867.63"/>
    <n v="13078.74"/>
    <n v="1307.874"/>
    <n v="24.362090482691592"/>
  </r>
  <r>
    <s v="ORD10398"/>
    <x v="210"/>
    <s v="CUST1068"/>
    <s v="Mumbai"/>
    <x v="4"/>
    <x v="4"/>
    <x v="3"/>
    <x v="6"/>
    <n v="5"/>
    <n v="64622.11"/>
    <n v="0.05"/>
    <x v="397"/>
    <n v="278631.65000000002"/>
    <n v="28323.37"/>
    <n v="323110.55"/>
    <n v="16155.5275"/>
    <n v="9.2272053410300945"/>
  </r>
  <r>
    <s v="ORD10399"/>
    <x v="211"/>
    <s v="CUST1041"/>
    <s v="Mumbai"/>
    <x v="4"/>
    <x v="2"/>
    <x v="1"/>
    <x v="6"/>
    <n v="4"/>
    <n v="8957.52"/>
    <n v="0"/>
    <x v="398"/>
    <n v="28638.45"/>
    <n v="7191.63"/>
    <n v="35830.080000000002"/>
    <n v="0"/>
    <n v="20.071487420625349"/>
  </r>
  <r>
    <s v="ORD10400"/>
    <x v="194"/>
    <s v="CUST1139"/>
    <s v="Mumbai"/>
    <x v="4"/>
    <x v="6"/>
    <x v="3"/>
    <x v="7"/>
    <n v="5"/>
    <n v="31536.03"/>
    <n v="0"/>
    <x v="399"/>
    <n v="135110.12"/>
    <n v="22570.03"/>
    <n v="157680.15"/>
    <n v="0"/>
    <n v="14.313805510712669"/>
  </r>
  <r>
    <s v="ORD10401"/>
    <x v="165"/>
    <s v="CUST1071"/>
    <s v="Ahmedabad"/>
    <x v="4"/>
    <x v="2"/>
    <x v="1"/>
    <x v="1"/>
    <n v="5"/>
    <n v="8637.11"/>
    <n v="0"/>
    <x v="400"/>
    <n v="32506.14"/>
    <n v="10679.41"/>
    <n v="43185.55"/>
    <n v="0"/>
    <n v="24.729128145872863"/>
  </r>
  <r>
    <s v="ORD10402"/>
    <x v="212"/>
    <s v="CUST1116"/>
    <s v="Bhopal"/>
    <x v="0"/>
    <x v="1"/>
    <x v="1"/>
    <x v="0"/>
    <n v="7"/>
    <n v="4005.06"/>
    <n v="0.05"/>
    <x v="401"/>
    <n v="20915.93"/>
    <n v="5717.72"/>
    <n v="28035.42"/>
    <n v="1401.771"/>
    <n v="21.468030104773472"/>
  </r>
  <r>
    <s v="ORD10403"/>
    <x v="213"/>
    <s v="CUST1068"/>
    <s v="Jaipur"/>
    <x v="1"/>
    <x v="3"/>
    <x v="2"/>
    <x v="1"/>
    <n v="7"/>
    <n v="13096.67"/>
    <n v="0"/>
    <x v="402"/>
    <n v="75511.789999999994"/>
    <n v="16164.9"/>
    <n v="91676.69"/>
    <n v="0"/>
    <n v="17.632508328998352"/>
  </r>
  <r>
    <s v="ORD10404"/>
    <x v="8"/>
    <s v="CUST1024"/>
    <s v="Ahmedabad"/>
    <x v="4"/>
    <x v="1"/>
    <x v="1"/>
    <x v="7"/>
    <n v="7"/>
    <n v="2732.01"/>
    <n v="0.1"/>
    <x v="403"/>
    <n v="12759.74"/>
    <n v="4451.92"/>
    <n v="19124.07"/>
    <n v="1912.4070000000002"/>
    <n v="25.865721261052098"/>
  </r>
  <r>
    <s v="ORD10405"/>
    <x v="214"/>
    <s v="CUST1109"/>
    <s v="Ahmedabad"/>
    <x v="4"/>
    <x v="4"/>
    <x v="3"/>
    <x v="0"/>
    <n v="7"/>
    <n v="58794.15"/>
    <n v="0"/>
    <x v="404"/>
    <n v="376122.73"/>
    <n v="35436.32"/>
    <n v="411559.05"/>
    <n v="0"/>
    <n v="8.6102638248387446"/>
  </r>
  <r>
    <s v="ORD10406"/>
    <x v="28"/>
    <s v="CUST1057"/>
    <s v="Bhopal"/>
    <x v="0"/>
    <x v="3"/>
    <x v="2"/>
    <x v="1"/>
    <n v="1"/>
    <n v="6000.28"/>
    <n v="0"/>
    <x v="405"/>
    <n v="5139.47"/>
    <n v="860.81"/>
    <n v="6000.28"/>
    <n v="0"/>
    <n v="14.346163845687201"/>
  </r>
  <r>
    <s v="ORD10407"/>
    <x v="125"/>
    <s v="CUST1086"/>
    <s v="Delhi"/>
    <x v="1"/>
    <x v="7"/>
    <x v="0"/>
    <x v="5"/>
    <n v="5"/>
    <n v="10171.379999999999"/>
    <n v="0"/>
    <x v="406"/>
    <n v="36315.480000000003"/>
    <n v="14541.42"/>
    <n v="50856.899999999994"/>
    <n v="0"/>
    <n v="28.592816314010488"/>
  </r>
  <r>
    <s v="ORD10408"/>
    <x v="215"/>
    <s v="CUST1030"/>
    <s v="Ahmedabad"/>
    <x v="4"/>
    <x v="8"/>
    <x v="1"/>
    <x v="4"/>
    <n v="5"/>
    <n v="9212.48"/>
    <n v="0.1"/>
    <x v="407"/>
    <n v="33195.94"/>
    <n v="8260.2199999999993"/>
    <n v="46062.399999999994"/>
    <n v="4606.24"/>
    <n v="19.925193264402683"/>
  </r>
  <r>
    <s v="ORD10409"/>
    <x v="157"/>
    <s v="CUST1039"/>
    <s v="Hyderabad"/>
    <x v="2"/>
    <x v="5"/>
    <x v="3"/>
    <x v="7"/>
    <n v="6"/>
    <n v="17085.189999999999"/>
    <n v="0"/>
    <x v="408"/>
    <n v="86113.57"/>
    <n v="16397.57"/>
    <n v="102511.13999999998"/>
    <n v="0"/>
    <n v="15.995890788064596"/>
  </r>
  <r>
    <s v="ORD10410"/>
    <x v="136"/>
    <s v="CUST1032"/>
    <s v="Bhopal"/>
    <x v="0"/>
    <x v="6"/>
    <x v="3"/>
    <x v="2"/>
    <n v="1"/>
    <n v="24356.58"/>
    <n v="0"/>
    <x v="409"/>
    <n v="20911.419999999998"/>
    <n v="3445.16"/>
    <n v="24356.58"/>
    <n v="0"/>
    <n v="14.144678768529898"/>
  </r>
  <r>
    <s v="ORD10411"/>
    <x v="197"/>
    <s v="CUST1048"/>
    <s v="Patna"/>
    <x v="3"/>
    <x v="3"/>
    <x v="2"/>
    <x v="3"/>
    <n v="2"/>
    <n v="12452.32"/>
    <n v="0.05"/>
    <x v="410"/>
    <n v="20266.53"/>
    <n v="3392.88"/>
    <n v="24904.639999999999"/>
    <n v="1245.232"/>
    <n v="14.340509759119099"/>
  </r>
  <r>
    <s v="ORD10412"/>
    <x v="82"/>
    <s v="CUST1036"/>
    <s v="Lucknow"/>
    <x v="1"/>
    <x v="1"/>
    <x v="1"/>
    <x v="6"/>
    <n v="1"/>
    <n v="3152.39"/>
    <n v="0.05"/>
    <x v="411"/>
    <n v="2347.4299999999998"/>
    <n v="647.34"/>
    <n v="3152.39"/>
    <n v="157.61950000000002"/>
    <n v="21.615683341291653"/>
  </r>
  <r>
    <s v="ORD10413"/>
    <x v="107"/>
    <s v="CUST1122"/>
    <s v="Pune"/>
    <x v="4"/>
    <x v="0"/>
    <x v="0"/>
    <x v="5"/>
    <n v="7"/>
    <n v="10784.11"/>
    <n v="0.05"/>
    <x v="412"/>
    <n v="52314.22"/>
    <n v="19400.11"/>
    <n v="75488.77"/>
    <n v="3774.4385000000002"/>
    <n v="27.051929509764644"/>
  </r>
  <r>
    <s v="ORD10414"/>
    <x v="81"/>
    <s v="CUST1006"/>
    <s v="Lucknow"/>
    <x v="1"/>
    <x v="9"/>
    <x v="3"/>
    <x v="3"/>
    <n v="1"/>
    <n v="46234.32"/>
    <n v="0"/>
    <x v="413"/>
    <n v="40938.910000000003"/>
    <n v="5295.41"/>
    <n v="46234.32"/>
    <n v="0"/>
    <n v="11.453418153440992"/>
  </r>
  <r>
    <s v="ORD10415"/>
    <x v="206"/>
    <s v="CUST1065"/>
    <s v="Ahmedabad"/>
    <x v="4"/>
    <x v="9"/>
    <x v="3"/>
    <x v="6"/>
    <n v="4"/>
    <n v="73046.789999999994"/>
    <n v="0.05"/>
    <x v="414"/>
    <n v="243287.94"/>
    <n v="34289.86"/>
    <n v="292187.15999999997"/>
    <n v="14609.358"/>
    <n v="12.353242946662162"/>
  </r>
  <r>
    <s v="ORD10416"/>
    <x v="8"/>
    <s v="CUST1078"/>
    <s v="Indore"/>
    <x v="0"/>
    <x v="8"/>
    <x v="1"/>
    <x v="1"/>
    <n v="3"/>
    <n v="5351.03"/>
    <n v="0.1"/>
    <x v="415"/>
    <n v="12480.43"/>
    <n v="1967.35"/>
    <n v="16053.09"/>
    <n v="1605.3090000000002"/>
    <n v="13.616970911794061"/>
  </r>
  <r>
    <s v="ORD10417"/>
    <x v="216"/>
    <s v="CUST1083"/>
    <s v="Pune"/>
    <x v="4"/>
    <x v="7"/>
    <x v="0"/>
    <x v="0"/>
    <n v="3"/>
    <n v="8994.5499999999993"/>
    <n v="0.05"/>
    <x v="416"/>
    <n v="18847.919999999998"/>
    <n v="6786.55"/>
    <n v="26983.649999999998"/>
    <n v="1349.1824999999999"/>
    <n v="26.474313687780555"/>
  </r>
  <r>
    <s v="ORD10418"/>
    <x v="194"/>
    <s v="CUST1123"/>
    <s v="Bhopal"/>
    <x v="0"/>
    <x v="6"/>
    <x v="3"/>
    <x v="2"/>
    <n v="6"/>
    <n v="12080.8"/>
    <n v="0.05"/>
    <x v="417"/>
    <n v="59243.81"/>
    <n v="9616.75"/>
    <n v="72484.799999999988"/>
    <n v="3624.24"/>
    <n v="13.965541378112523"/>
  </r>
  <r>
    <s v="ORD10419"/>
    <x v="5"/>
    <s v="CUST1072"/>
    <s v="Indore"/>
    <x v="0"/>
    <x v="8"/>
    <x v="1"/>
    <x v="5"/>
    <n v="2"/>
    <n v="7950.32"/>
    <n v="0.1"/>
    <x v="418"/>
    <n v="11341.83"/>
    <n v="2968.75"/>
    <n v="15900.64"/>
    <n v="1590.0640000000001"/>
    <n v="20.745141007562236"/>
  </r>
  <r>
    <s v="ORD10420"/>
    <x v="210"/>
    <s v="CUST1072"/>
    <s v="Jaipur"/>
    <x v="1"/>
    <x v="7"/>
    <x v="0"/>
    <x v="3"/>
    <n v="7"/>
    <n v="14719.68"/>
    <n v="0.1"/>
    <x v="419"/>
    <n v="75906.58"/>
    <n v="16827.400000000001"/>
    <n v="103037.76000000001"/>
    <n v="10303.776000000002"/>
    <n v="18.145883526189646"/>
  </r>
  <r>
    <s v="ORD10421"/>
    <x v="19"/>
    <s v="CUST1005"/>
    <s v="Chennai"/>
    <x v="2"/>
    <x v="1"/>
    <x v="1"/>
    <x v="6"/>
    <n v="3"/>
    <n v="2088.46"/>
    <n v="0"/>
    <x v="420"/>
    <n v="4564.0200000000004"/>
    <n v="1701.36"/>
    <n v="6265.38"/>
    <n v="0"/>
    <n v="27.154937130708749"/>
  </r>
  <r>
    <s v="ORD10422"/>
    <x v="96"/>
    <s v="CUST1123"/>
    <s v="Nagpur"/>
    <x v="0"/>
    <x v="0"/>
    <x v="0"/>
    <x v="1"/>
    <n v="6"/>
    <n v="23458.959999999999"/>
    <n v="0"/>
    <x v="421"/>
    <n v="112600.82"/>
    <n v="28152.94"/>
    <n v="140753.76"/>
    <n v="0"/>
    <n v="20.001554487780641"/>
  </r>
  <r>
    <s v="ORD10423"/>
    <x v="59"/>
    <s v="CUST1014"/>
    <s v="Delhi"/>
    <x v="1"/>
    <x v="8"/>
    <x v="1"/>
    <x v="5"/>
    <n v="4"/>
    <n v="11806.13"/>
    <n v="0.05"/>
    <x v="422"/>
    <n v="35792.080000000002"/>
    <n v="9071.2099999999991"/>
    <n v="47224.52"/>
    <n v="2361.2260000000001"/>
    <n v="20.219671807395308"/>
  </r>
  <r>
    <s v="ORD10424"/>
    <x v="217"/>
    <s v="CUST1136"/>
    <s v="Nagpur"/>
    <x v="0"/>
    <x v="0"/>
    <x v="0"/>
    <x v="1"/>
    <n v="2"/>
    <n v="27797.599999999999"/>
    <n v="0.1"/>
    <x v="423"/>
    <n v="36537.67"/>
    <n v="13498.01"/>
    <n v="55595.199999999997"/>
    <n v="5559.52"/>
    <n v="26.976769377372307"/>
  </r>
  <r>
    <s v="ORD10425"/>
    <x v="188"/>
    <s v="CUST1082"/>
    <s v="Kolkata"/>
    <x v="3"/>
    <x v="2"/>
    <x v="1"/>
    <x v="1"/>
    <n v="6"/>
    <n v="3024.6"/>
    <n v="0.05"/>
    <x v="424"/>
    <n v="12801.3"/>
    <n v="4438.92"/>
    <n v="18147.599999999999"/>
    <n v="907.38"/>
    <n v="25.747467259698542"/>
  </r>
  <r>
    <s v="ORD10426"/>
    <x v="218"/>
    <s v="CUST1002"/>
    <s v="Mumbai"/>
    <x v="4"/>
    <x v="7"/>
    <x v="0"/>
    <x v="3"/>
    <n v="2"/>
    <n v="9492.7000000000007"/>
    <n v="0.05"/>
    <x v="425"/>
    <n v="13187.67"/>
    <n v="4848.46"/>
    <n v="18985.400000000001"/>
    <n v="949.2700000000001"/>
    <n v="26.881930879850607"/>
  </r>
  <r>
    <s v="ORD10427"/>
    <x v="219"/>
    <s v="CUST1020"/>
    <s v="Nagpur"/>
    <x v="0"/>
    <x v="6"/>
    <x v="3"/>
    <x v="2"/>
    <n v="7"/>
    <n v="12742.49"/>
    <n v="0"/>
    <x v="426"/>
    <n v="79603.5"/>
    <n v="9593.93"/>
    <n v="89197.43"/>
    <n v="0"/>
    <n v="10.755836799333794"/>
  </r>
  <r>
    <s v="ORD10428"/>
    <x v="110"/>
    <s v="CUST1053"/>
    <s v="Nagpur"/>
    <x v="0"/>
    <x v="8"/>
    <x v="1"/>
    <x v="1"/>
    <n v="4"/>
    <n v="7669.68"/>
    <n v="0"/>
    <x v="427"/>
    <n v="24790.27"/>
    <n v="5888.45"/>
    <n v="30678.720000000001"/>
    <n v="0"/>
    <n v="19.19392334491139"/>
  </r>
  <r>
    <s v="ORD10429"/>
    <x v="17"/>
    <s v="CUST1002"/>
    <s v="Patna"/>
    <x v="3"/>
    <x v="2"/>
    <x v="1"/>
    <x v="0"/>
    <n v="6"/>
    <n v="5330.84"/>
    <n v="0"/>
    <x v="428"/>
    <n v="26466.61"/>
    <n v="5518.43"/>
    <n v="31985.040000000001"/>
    <n v="0"/>
    <n v="17.253159602113989"/>
  </r>
  <r>
    <s v="ORD10430"/>
    <x v="10"/>
    <s v="CUST1048"/>
    <s v="Ahmedabad"/>
    <x v="4"/>
    <x v="2"/>
    <x v="1"/>
    <x v="0"/>
    <n v="5"/>
    <n v="5317.22"/>
    <n v="0.1"/>
    <x v="429"/>
    <n v="18462.830000000002"/>
    <n v="5464.66"/>
    <n v="26586.100000000002"/>
    <n v="2658.6100000000006"/>
    <n v="22.838417234737111"/>
  </r>
  <r>
    <s v="ORD10431"/>
    <x v="202"/>
    <s v="CUST1045"/>
    <s v="Nagpur"/>
    <x v="0"/>
    <x v="8"/>
    <x v="1"/>
    <x v="3"/>
    <n v="1"/>
    <n v="8772.31"/>
    <n v="0"/>
    <x v="430"/>
    <n v="7004.05"/>
    <n v="1768.26"/>
    <n v="8772.31"/>
    <n v="0"/>
    <n v="20.157290383034802"/>
  </r>
  <r>
    <s v="ORD10432"/>
    <x v="79"/>
    <s v="CUST1046"/>
    <s v="Mumbai"/>
    <x v="4"/>
    <x v="3"/>
    <x v="2"/>
    <x v="1"/>
    <n v="1"/>
    <n v="16806.099999999999"/>
    <n v="0"/>
    <x v="431"/>
    <n v="13661.9"/>
    <n v="3144.2"/>
    <n v="16806.099999999999"/>
    <n v="0"/>
    <n v="18.708683156710958"/>
  </r>
  <r>
    <s v="ORD10433"/>
    <x v="122"/>
    <s v="CUST1085"/>
    <s v="Nagpur"/>
    <x v="0"/>
    <x v="9"/>
    <x v="3"/>
    <x v="5"/>
    <n v="3"/>
    <n v="64921.62"/>
    <n v="0"/>
    <x v="432"/>
    <n v="177379.65"/>
    <n v="17385.21"/>
    <n v="194764.86000000002"/>
    <n v="0"/>
    <n v="8.9262559991571369"/>
  </r>
  <r>
    <s v="ORD10434"/>
    <x v="8"/>
    <s v="CUST1121"/>
    <s v="Indore"/>
    <x v="0"/>
    <x v="3"/>
    <x v="2"/>
    <x v="6"/>
    <n v="3"/>
    <n v="16521.240000000002"/>
    <n v="0.05"/>
    <x v="433"/>
    <n v="38911.72"/>
    <n v="8173.81"/>
    <n v="49563.72"/>
    <n v="2478.1860000000001"/>
    <n v="17.359494519866296"/>
  </r>
  <r>
    <s v="ORD10435"/>
    <x v="36"/>
    <s v="CUST1047"/>
    <s v="Pune"/>
    <x v="4"/>
    <x v="8"/>
    <x v="1"/>
    <x v="7"/>
    <n v="7"/>
    <n v="3403.47"/>
    <n v="0"/>
    <x v="434"/>
    <n v="18247.71"/>
    <n v="5576.58"/>
    <n v="23824.289999999997"/>
    <n v="0"/>
    <n v="23.407119372707434"/>
  </r>
  <r>
    <s v="ORD10436"/>
    <x v="64"/>
    <s v="CUST1061"/>
    <s v="Mumbai"/>
    <x v="4"/>
    <x v="3"/>
    <x v="2"/>
    <x v="1"/>
    <n v="3"/>
    <n v="6379.52"/>
    <n v="0"/>
    <x v="435"/>
    <n v="17081.099999999999"/>
    <n v="2057.46"/>
    <n v="19138.560000000001"/>
    <n v="0"/>
    <n v="10.750338583467094"/>
  </r>
  <r>
    <s v="ORD10437"/>
    <x v="145"/>
    <s v="CUST1019"/>
    <s v="Hyderabad"/>
    <x v="2"/>
    <x v="4"/>
    <x v="3"/>
    <x v="3"/>
    <n v="7"/>
    <n v="33610.019999999997"/>
    <n v="0.1"/>
    <x v="436"/>
    <n v="183696.03"/>
    <n v="28047.1"/>
    <n v="235270.13999999998"/>
    <n v="23527.013999999999"/>
    <n v="13.245813453310149"/>
  </r>
  <r>
    <s v="ORD10438"/>
    <x v="196"/>
    <s v="CUST1008"/>
    <s v="Jaipur"/>
    <x v="1"/>
    <x v="5"/>
    <x v="3"/>
    <x v="2"/>
    <n v="1"/>
    <n v="29269.94"/>
    <n v="0"/>
    <x v="437"/>
    <n v="24619.26"/>
    <n v="4650.68"/>
    <n v="29269.94"/>
    <n v="0"/>
    <n v="15.888929051443224"/>
  </r>
  <r>
    <s v="ORD10439"/>
    <x v="205"/>
    <s v="CUST1037"/>
    <s v="Lucknow"/>
    <x v="1"/>
    <x v="6"/>
    <x v="3"/>
    <x v="6"/>
    <n v="7"/>
    <n v="29792.69"/>
    <n v="0"/>
    <x v="438"/>
    <n v="180009.99"/>
    <n v="28538.84"/>
    <n v="208548.83"/>
    <n v="0"/>
    <n v="13.684488184373894"/>
  </r>
  <r>
    <s v="ORD10440"/>
    <x v="78"/>
    <s v="CUST1114"/>
    <s v="Hyderabad"/>
    <x v="2"/>
    <x v="1"/>
    <x v="1"/>
    <x v="3"/>
    <n v="2"/>
    <n v="2527.63"/>
    <n v="0"/>
    <x v="439"/>
    <n v="3833.35"/>
    <n v="1221.9100000000001"/>
    <n v="5055.26"/>
    <n v="0"/>
    <n v="24.171061429085743"/>
  </r>
  <r>
    <s v="ORD10441"/>
    <x v="141"/>
    <s v="CUST1004"/>
    <s v="Bhopal"/>
    <x v="0"/>
    <x v="4"/>
    <x v="3"/>
    <x v="4"/>
    <n v="6"/>
    <n v="56237.16"/>
    <n v="0.1"/>
    <x v="440"/>
    <n v="269092.62"/>
    <n v="34588.04"/>
    <n v="337422.96"/>
    <n v="33742.296000000002"/>
    <n v="11.389609071581971"/>
  </r>
  <r>
    <s v="ORD10442"/>
    <x v="160"/>
    <s v="CUST1121"/>
    <s v="Delhi"/>
    <x v="1"/>
    <x v="6"/>
    <x v="3"/>
    <x v="6"/>
    <n v="4"/>
    <n v="9736.09"/>
    <n v="0"/>
    <x v="441"/>
    <n v="32072.86"/>
    <n v="6871.5"/>
    <n v="38944.36"/>
    <n v="0"/>
    <n v="17.644403451488223"/>
  </r>
  <r>
    <s v="ORD10443"/>
    <x v="114"/>
    <s v="CUST1109"/>
    <s v="Nagpur"/>
    <x v="0"/>
    <x v="1"/>
    <x v="1"/>
    <x v="5"/>
    <n v="5"/>
    <n v="1473.94"/>
    <n v="0.1"/>
    <x v="442"/>
    <n v="4825.12"/>
    <n v="1807.61"/>
    <n v="7369.7000000000007"/>
    <n v="736.97000000000014"/>
    <n v="27.252880789659763"/>
  </r>
  <r>
    <s v="ORD10444"/>
    <x v="185"/>
    <s v="CUST1056"/>
    <s v="Ahmedabad"/>
    <x v="4"/>
    <x v="5"/>
    <x v="3"/>
    <x v="1"/>
    <n v="1"/>
    <n v="34563.65"/>
    <n v="0"/>
    <x v="443"/>
    <n v="31366.65"/>
    <n v="3197"/>
    <n v="34563.65"/>
    <n v="0"/>
    <n v="9.2496018215668769"/>
  </r>
  <r>
    <s v="ORD10445"/>
    <x v="220"/>
    <s v="CUST1055"/>
    <s v="Lucknow"/>
    <x v="1"/>
    <x v="1"/>
    <x v="1"/>
    <x v="4"/>
    <n v="2"/>
    <n v="3918.63"/>
    <n v="0.1"/>
    <x v="444"/>
    <n v="5271.75"/>
    <n v="1781.78"/>
    <n v="7837.26"/>
    <n v="783.72600000000011"/>
    <n v="25.260826848400729"/>
  </r>
  <r>
    <s v="ORD10446"/>
    <x v="131"/>
    <s v="CUST1080"/>
    <s v="Delhi"/>
    <x v="1"/>
    <x v="1"/>
    <x v="1"/>
    <x v="6"/>
    <n v="2"/>
    <n v="2172.3200000000002"/>
    <n v="0"/>
    <x v="445"/>
    <n v="3539.6"/>
    <n v="805.04"/>
    <n v="4344.6400000000003"/>
    <n v="0"/>
    <n v="18.529498416439566"/>
  </r>
  <r>
    <s v="ORD10447"/>
    <x v="137"/>
    <s v="CUST1118"/>
    <s v="Kolkata"/>
    <x v="3"/>
    <x v="3"/>
    <x v="2"/>
    <x v="0"/>
    <n v="5"/>
    <n v="7863.38"/>
    <n v="0.05"/>
    <x v="446"/>
    <n v="32747.040000000001"/>
    <n v="4604.0200000000004"/>
    <n v="39316.9"/>
    <n v="1965.8450000000003"/>
    <n v="12.326343616486387"/>
  </r>
  <r>
    <s v="ORD10448"/>
    <x v="105"/>
    <s v="CUST1029"/>
    <s v="Mumbai"/>
    <x v="4"/>
    <x v="7"/>
    <x v="0"/>
    <x v="5"/>
    <n v="6"/>
    <n v="12851.34"/>
    <n v="0"/>
    <x v="447"/>
    <n v="57579.23"/>
    <n v="19528.810000000001"/>
    <n v="77108.040000000008"/>
    <n v="0"/>
    <n v="25.326554792470411"/>
  </r>
  <r>
    <s v="ORD10449"/>
    <x v="221"/>
    <s v="CUST1085"/>
    <s v="Delhi"/>
    <x v="1"/>
    <x v="8"/>
    <x v="1"/>
    <x v="1"/>
    <n v="7"/>
    <n v="3679.66"/>
    <n v="0"/>
    <x v="448"/>
    <n v="20186.73"/>
    <n v="5570.89"/>
    <n v="25757.62"/>
    <n v="0"/>
    <n v="21.628124026986967"/>
  </r>
  <r>
    <s v="ORD10450"/>
    <x v="17"/>
    <s v="CUST1122"/>
    <s v="Chennai"/>
    <x v="2"/>
    <x v="4"/>
    <x v="3"/>
    <x v="1"/>
    <n v="6"/>
    <n v="29839.33"/>
    <n v="0"/>
    <x v="449"/>
    <n v="167985.59"/>
    <n v="11050.39"/>
    <n v="179035.98"/>
    <n v="0"/>
    <n v="6.1721615956747904"/>
  </r>
  <r>
    <s v="ORD10451"/>
    <x v="48"/>
    <s v="CUST1047"/>
    <s v="Indore"/>
    <x v="0"/>
    <x v="4"/>
    <x v="3"/>
    <x v="4"/>
    <n v="4"/>
    <n v="40961.230000000003"/>
    <n v="0"/>
    <x v="450"/>
    <n v="151552.65"/>
    <n v="12292.27"/>
    <n v="163844.92000000001"/>
    <n v="0"/>
    <n v="7.5023809099482603"/>
  </r>
  <r>
    <s v="ORD10452"/>
    <x v="222"/>
    <s v="CUST1137"/>
    <s v="Ahmedabad"/>
    <x v="4"/>
    <x v="6"/>
    <x v="3"/>
    <x v="5"/>
    <n v="4"/>
    <n v="14708.4"/>
    <n v="0.05"/>
    <x v="451"/>
    <n v="44790.41"/>
    <n v="11101.51"/>
    <n v="58833.599999999999"/>
    <n v="2941.6800000000003"/>
    <n v="19.862459546925567"/>
  </r>
  <r>
    <s v="ORD10453"/>
    <x v="149"/>
    <s v="CUST1141"/>
    <s v="Ahmedabad"/>
    <x v="4"/>
    <x v="2"/>
    <x v="1"/>
    <x v="4"/>
    <n v="2"/>
    <n v="5000.8500000000004"/>
    <n v="0"/>
    <x v="452"/>
    <n v="8001.22"/>
    <n v="2000.48"/>
    <n v="10001.700000000001"/>
    <n v="0"/>
    <n v="20.001399762040453"/>
  </r>
  <r>
    <s v="ORD10454"/>
    <x v="146"/>
    <s v="CUST1026"/>
    <s v="Patna"/>
    <x v="3"/>
    <x v="9"/>
    <x v="3"/>
    <x v="6"/>
    <n v="5"/>
    <n v="64828.15"/>
    <n v="0"/>
    <x v="453"/>
    <n v="293579.40000000002"/>
    <n v="30561.35"/>
    <n v="324140.75"/>
    <n v="0"/>
    <n v="9.428419598584874"/>
  </r>
  <r>
    <s v="ORD10455"/>
    <x v="223"/>
    <s v="CUST1053"/>
    <s v="Kolkata"/>
    <x v="3"/>
    <x v="1"/>
    <x v="1"/>
    <x v="6"/>
    <n v="3"/>
    <n v="4012.16"/>
    <n v="0"/>
    <x v="454"/>
    <n v="9436.42"/>
    <n v="2600.06"/>
    <n v="12036.48"/>
    <n v="0"/>
    <n v="21.601498112404958"/>
  </r>
  <r>
    <s v="ORD10456"/>
    <x v="209"/>
    <s v="CUST1117"/>
    <s v="Bhubaneswar"/>
    <x v="3"/>
    <x v="9"/>
    <x v="3"/>
    <x v="2"/>
    <n v="3"/>
    <n v="79292.36"/>
    <n v="0.05"/>
    <x v="455"/>
    <n v="195234.18"/>
    <n v="30749.05"/>
    <n v="237877.08000000002"/>
    <n v="11893.854000000001"/>
    <n v="13.606784007822172"/>
  </r>
  <r>
    <s v="ORD10457"/>
    <x v="25"/>
    <s v="CUST1108"/>
    <s v="Lucknow"/>
    <x v="1"/>
    <x v="6"/>
    <x v="3"/>
    <x v="2"/>
    <n v="1"/>
    <n v="27809.54"/>
    <n v="0.05"/>
    <x v="456"/>
    <n v="21467.68"/>
    <n v="4951.38"/>
    <n v="27809.54"/>
    <n v="1390.4770000000001"/>
    <n v="18.74169633590294"/>
  </r>
  <r>
    <s v="ORD10458"/>
    <x v="172"/>
    <s v="CUST1015"/>
    <s v="Lucknow"/>
    <x v="1"/>
    <x v="7"/>
    <x v="0"/>
    <x v="2"/>
    <n v="3"/>
    <n v="12672"/>
    <n v="0.1"/>
    <x v="457"/>
    <n v="26394.76"/>
    <n v="7819.64"/>
    <n v="38016"/>
    <n v="3801.6000000000004"/>
    <n v="22.854821361765808"/>
  </r>
  <r>
    <s v="ORD10459"/>
    <x v="87"/>
    <s v="CUST1136"/>
    <s v="Bhopal"/>
    <x v="0"/>
    <x v="3"/>
    <x v="2"/>
    <x v="4"/>
    <n v="3"/>
    <n v="25284.9"/>
    <n v="0"/>
    <x v="458"/>
    <n v="66376.289999999994"/>
    <n v="9478.41"/>
    <n v="75854.700000000012"/>
    <n v="0"/>
    <n v="12.495481492906833"/>
  </r>
  <r>
    <s v="ORD10460"/>
    <x v="65"/>
    <s v="CUST1082"/>
    <s v="Chennai"/>
    <x v="2"/>
    <x v="3"/>
    <x v="2"/>
    <x v="1"/>
    <n v="7"/>
    <n v="23833.96"/>
    <n v="0"/>
    <x v="459"/>
    <n v="137174.28"/>
    <n v="29663.439999999999"/>
    <n v="166837.72"/>
    <n v="0"/>
    <n v="17.779816219018095"/>
  </r>
  <r>
    <s v="ORD10461"/>
    <x v="224"/>
    <s v="CUST1003"/>
    <s v="Nagpur"/>
    <x v="0"/>
    <x v="8"/>
    <x v="1"/>
    <x v="4"/>
    <n v="3"/>
    <n v="11969.57"/>
    <n v="0"/>
    <x v="460"/>
    <n v="29515.87"/>
    <n v="6392.84"/>
    <n v="35908.71"/>
    <n v="0"/>
    <n v="17.803034416997992"/>
  </r>
  <r>
    <s v="ORD10462"/>
    <x v="210"/>
    <s v="CUST1107"/>
    <s v="Jaipur"/>
    <x v="1"/>
    <x v="7"/>
    <x v="0"/>
    <x v="7"/>
    <n v="3"/>
    <n v="11282.76"/>
    <n v="0"/>
    <x v="461"/>
    <n v="27571.51"/>
    <n v="6276.77"/>
    <n v="33848.28"/>
    <n v="0"/>
    <n v="18.543837382578968"/>
  </r>
  <r>
    <s v="ORD10463"/>
    <x v="168"/>
    <s v="CUST1048"/>
    <s v="Pune"/>
    <x v="4"/>
    <x v="9"/>
    <x v="3"/>
    <x v="6"/>
    <n v="7"/>
    <n v="59929.65"/>
    <n v="0.1"/>
    <x v="462"/>
    <n v="318174.31"/>
    <n v="59382.49"/>
    <n v="419507.55"/>
    <n v="41950.755000000005"/>
    <n v="15.728094421819444"/>
  </r>
  <r>
    <s v="ORD10464"/>
    <x v="225"/>
    <s v="CUST1099"/>
    <s v="Lucknow"/>
    <x v="1"/>
    <x v="2"/>
    <x v="1"/>
    <x v="0"/>
    <n v="5"/>
    <n v="6158.28"/>
    <n v="0"/>
    <x v="463"/>
    <n v="23977.360000000001"/>
    <n v="6814.04"/>
    <n v="30791.399999999998"/>
    <n v="0"/>
    <n v="22.1296855615529"/>
  </r>
  <r>
    <s v="ORD10465"/>
    <x v="103"/>
    <s v="CUST1145"/>
    <s v="Chennai"/>
    <x v="2"/>
    <x v="7"/>
    <x v="0"/>
    <x v="7"/>
    <n v="7"/>
    <n v="16262.23"/>
    <n v="0.1"/>
    <x v="464"/>
    <n v="74790.27"/>
    <n v="27661.78"/>
    <n v="113835.61"/>
    <n v="11383.561000000002"/>
    <n v="26.999733045849251"/>
  </r>
  <r>
    <s v="ORD10466"/>
    <x v="38"/>
    <s v="CUST1062"/>
    <s v="Patna"/>
    <x v="3"/>
    <x v="5"/>
    <x v="3"/>
    <x v="1"/>
    <n v="2"/>
    <n v="24128.57"/>
    <n v="0.1"/>
    <x v="465"/>
    <n v="38128.769999999997"/>
    <n v="5302.66"/>
    <n v="48257.14"/>
    <n v="4825.7139999999999"/>
    <n v="12.209268725436855"/>
  </r>
  <r>
    <s v="ORD10467"/>
    <x v="36"/>
    <s v="CUST1130"/>
    <s v="Kolkata"/>
    <x v="3"/>
    <x v="6"/>
    <x v="3"/>
    <x v="4"/>
    <n v="3"/>
    <n v="19041.509999999998"/>
    <n v="0"/>
    <x v="466"/>
    <n v="47985.91"/>
    <n v="9138.6200000000008"/>
    <n v="57124.53"/>
    <n v="0"/>
    <n v="15.997715867421579"/>
  </r>
  <r>
    <s v="ORD10468"/>
    <x v="226"/>
    <s v="CUST1140"/>
    <s v="Chennai"/>
    <x v="2"/>
    <x v="2"/>
    <x v="1"/>
    <x v="2"/>
    <n v="7"/>
    <n v="5810.01"/>
    <n v="0.05"/>
    <x v="467"/>
    <n v="30516.7"/>
    <n v="8119.87"/>
    <n v="40670.07"/>
    <n v="2033.5035"/>
    <n v="21.016021867365556"/>
  </r>
  <r>
    <s v="ORD10469"/>
    <x v="191"/>
    <s v="CUST1061"/>
    <s v="Bhubaneswar"/>
    <x v="3"/>
    <x v="9"/>
    <x v="3"/>
    <x v="6"/>
    <n v="6"/>
    <n v="55877.84"/>
    <n v="0.05"/>
    <x v="468"/>
    <n v="272742.3"/>
    <n v="45761.39"/>
    <n v="335267.03999999998"/>
    <n v="16763.351999999999"/>
    <n v="14.367616902648757"/>
  </r>
  <r>
    <s v="ORD10470"/>
    <x v="162"/>
    <s v="CUST1074"/>
    <s v="Chennai"/>
    <x v="2"/>
    <x v="1"/>
    <x v="1"/>
    <x v="5"/>
    <n v="5"/>
    <n v="3717.49"/>
    <n v="0.05"/>
    <x v="469"/>
    <n v="13118.37"/>
    <n v="4539.71"/>
    <n v="18587.449999999997"/>
    <n v="929.37249999999995"/>
    <n v="25.708967226334913"/>
  </r>
  <r>
    <s v="ORD10471"/>
    <x v="69"/>
    <s v="CUST1028"/>
    <s v="Indore"/>
    <x v="0"/>
    <x v="7"/>
    <x v="0"/>
    <x v="7"/>
    <n v="4"/>
    <n v="21716.2"/>
    <n v="0.1"/>
    <x v="470"/>
    <n v="57090.45"/>
    <n v="21087.87"/>
    <n v="86864.8"/>
    <n v="8686.4800000000014"/>
    <n v="26.974063909278168"/>
  </r>
  <r>
    <s v="ORD10472"/>
    <x v="227"/>
    <s v="CUST1060"/>
    <s v="Bhopal"/>
    <x v="0"/>
    <x v="6"/>
    <x v="3"/>
    <x v="7"/>
    <n v="5"/>
    <n v="9875.59"/>
    <n v="0.1"/>
    <x v="471"/>
    <n v="36332.82"/>
    <n v="8107.34"/>
    <n v="49377.95"/>
    <n v="4937.7950000000001"/>
    <n v="18.243273651580012"/>
  </r>
  <r>
    <s v="ORD10473"/>
    <x v="135"/>
    <s v="CUST1104"/>
    <s v="Nagpur"/>
    <x v="0"/>
    <x v="3"/>
    <x v="2"/>
    <x v="0"/>
    <n v="3"/>
    <n v="27550.06"/>
    <n v="0.05"/>
    <x v="472"/>
    <n v="63729.07"/>
    <n v="14788.6"/>
    <n v="82650.180000000008"/>
    <n v="4132.5090000000009"/>
    <n v="18.834741275435199"/>
  </r>
  <r>
    <s v="ORD10474"/>
    <x v="204"/>
    <s v="CUST1027"/>
    <s v="Pune"/>
    <x v="4"/>
    <x v="4"/>
    <x v="3"/>
    <x v="3"/>
    <n v="1"/>
    <n v="52400.24"/>
    <n v="0.05"/>
    <x v="473"/>
    <n v="46492.09"/>
    <n v="3288.14"/>
    <n v="52400.24"/>
    <n v="2620.0120000000002"/>
    <n v="6.6053129927282361"/>
  </r>
  <r>
    <s v="ORD10475"/>
    <x v="119"/>
    <s v="CUST1013"/>
    <s v="Hyderabad"/>
    <x v="2"/>
    <x v="2"/>
    <x v="1"/>
    <x v="6"/>
    <n v="3"/>
    <n v="1548.61"/>
    <n v="0"/>
    <x v="474"/>
    <n v="3972.92"/>
    <n v="672.91"/>
    <n v="4645.83"/>
    <n v="0"/>
    <n v="14.484171827208487"/>
  </r>
  <r>
    <s v="ORD10476"/>
    <x v="51"/>
    <s v="CUST1035"/>
    <s v="Bhopal"/>
    <x v="0"/>
    <x v="5"/>
    <x v="3"/>
    <x v="4"/>
    <n v="6"/>
    <n v="23368.33"/>
    <n v="0"/>
    <x v="475"/>
    <n v="122138.21"/>
    <n v="18071.77"/>
    <n v="140209.98000000001"/>
    <n v="0"/>
    <n v="12.889075371096977"/>
  </r>
  <r>
    <s v="ORD10477"/>
    <x v="133"/>
    <s v="CUST1099"/>
    <s v="Patna"/>
    <x v="3"/>
    <x v="0"/>
    <x v="0"/>
    <x v="2"/>
    <n v="4"/>
    <n v="20098.599999999999"/>
    <n v="0"/>
    <x v="476"/>
    <n v="59455.33"/>
    <n v="20939.07"/>
    <n v="80394.399999999994"/>
    <n v="0"/>
    <n v="26.045433512781983"/>
  </r>
  <r>
    <s v="ORD10478"/>
    <x v="29"/>
    <s v="CUST1127"/>
    <s v="Bhopal"/>
    <x v="0"/>
    <x v="1"/>
    <x v="1"/>
    <x v="2"/>
    <n v="3"/>
    <n v="2489.81"/>
    <n v="0.05"/>
    <x v="477"/>
    <n v="5117.6899999999996"/>
    <n v="1978.27"/>
    <n v="7469.43"/>
    <n v="373.47150000000005"/>
    <n v="27.878821188394522"/>
  </r>
  <r>
    <s v="ORD10479"/>
    <x v="228"/>
    <s v="CUST1139"/>
    <s v="Pune"/>
    <x v="4"/>
    <x v="2"/>
    <x v="1"/>
    <x v="4"/>
    <n v="1"/>
    <n v="2676.7"/>
    <n v="0"/>
    <x v="478"/>
    <n v="2110.25"/>
    <n v="566.45000000000005"/>
    <n v="2676.7"/>
    <n v="0"/>
    <n v="21.162252026749361"/>
  </r>
  <r>
    <s v="ORD10480"/>
    <x v="159"/>
    <s v="CUST1132"/>
    <s v="Chennai"/>
    <x v="2"/>
    <x v="1"/>
    <x v="1"/>
    <x v="4"/>
    <n v="5"/>
    <n v="3458.91"/>
    <n v="0.15"/>
    <x v="479"/>
    <n v="10620.35"/>
    <n v="4080.02"/>
    <n v="17294.55"/>
    <n v="2594.1824999999999"/>
    <n v="27.754539511590519"/>
  </r>
  <r>
    <s v="ORD10481"/>
    <x v="19"/>
    <s v="CUST1146"/>
    <s v="Bengaluru"/>
    <x v="2"/>
    <x v="8"/>
    <x v="1"/>
    <x v="2"/>
    <n v="6"/>
    <n v="11351.26"/>
    <n v="0"/>
    <x v="480"/>
    <n v="55908.18"/>
    <n v="12199.38"/>
    <n v="68107.56"/>
    <n v="0"/>
    <n v="17.911932243645197"/>
  </r>
  <r>
    <s v="ORD10482"/>
    <x v="4"/>
    <s v="CUST1059"/>
    <s v="Nagpur"/>
    <x v="0"/>
    <x v="4"/>
    <x v="3"/>
    <x v="5"/>
    <n v="3"/>
    <n v="20503.16"/>
    <n v="0"/>
    <x v="481"/>
    <n v="55048.99"/>
    <n v="6460.49"/>
    <n v="61509.479999999996"/>
    <n v="0"/>
    <n v="10.503242752174135"/>
  </r>
  <r>
    <s v="ORD10483"/>
    <x v="56"/>
    <s v="CUST1150"/>
    <s v="Bengaluru"/>
    <x v="2"/>
    <x v="6"/>
    <x v="3"/>
    <x v="4"/>
    <n v="7"/>
    <n v="13061.37"/>
    <n v="0.05"/>
    <x v="482"/>
    <n v="76614.45"/>
    <n v="10243.66"/>
    <n v="91429.590000000011"/>
    <n v="4571.4795000000004"/>
    <n v="11.793556180303716"/>
  </r>
  <r>
    <s v="ORD10484"/>
    <x v="63"/>
    <s v="CUST1119"/>
    <s v="Patna"/>
    <x v="3"/>
    <x v="9"/>
    <x v="3"/>
    <x v="2"/>
    <n v="6"/>
    <n v="78494.679999999993"/>
    <n v="0"/>
    <x v="483"/>
    <n v="401010.7"/>
    <n v="69957.38"/>
    <n v="470968.07999999996"/>
    <n v="0"/>
    <n v="14.853953584285373"/>
  </r>
  <r>
    <s v="ORD10485"/>
    <x v="73"/>
    <s v="CUST1090"/>
    <s v="Patna"/>
    <x v="3"/>
    <x v="0"/>
    <x v="0"/>
    <x v="4"/>
    <n v="6"/>
    <n v="23859.03"/>
    <n v="0.1"/>
    <x v="484"/>
    <n v="98344.71"/>
    <n v="30494.05"/>
    <n v="143154.18"/>
    <n v="14315.418"/>
    <n v="23.668382092469688"/>
  </r>
  <r>
    <s v="ORD10486"/>
    <x v="50"/>
    <s v="CUST1075"/>
    <s v="Kolkata"/>
    <x v="3"/>
    <x v="4"/>
    <x v="3"/>
    <x v="7"/>
    <n v="6"/>
    <n v="43630.36"/>
    <n v="0.05"/>
    <x v="485"/>
    <n v="232013.16"/>
    <n v="16679.89"/>
    <n v="261782.16"/>
    <n v="13089.108"/>
    <n v="6.7070189536860809"/>
  </r>
  <r>
    <s v="ORD10487"/>
    <x v="83"/>
    <s v="CUST1116"/>
    <s v="Indore"/>
    <x v="0"/>
    <x v="0"/>
    <x v="0"/>
    <x v="5"/>
    <n v="2"/>
    <n v="8397.08"/>
    <n v="0"/>
    <x v="486"/>
    <n v="12884.12"/>
    <n v="3910.04"/>
    <n v="16794.16"/>
    <n v="0"/>
    <n v="23.282140934705875"/>
  </r>
  <r>
    <s v="ORD10488"/>
    <x v="25"/>
    <s v="CUST1088"/>
    <s v="Bhubaneswar"/>
    <x v="3"/>
    <x v="7"/>
    <x v="0"/>
    <x v="7"/>
    <n v="3"/>
    <n v="13526.79"/>
    <n v="0.1"/>
    <x v="487"/>
    <n v="29086.44"/>
    <n v="7435.89"/>
    <n v="40580.370000000003"/>
    <n v="4058.0370000000003"/>
    <n v="20.359845606783576"/>
  </r>
  <r>
    <s v="ORD10489"/>
    <x v="77"/>
    <s v="CUST1057"/>
    <s v="Ahmedabad"/>
    <x v="4"/>
    <x v="5"/>
    <x v="3"/>
    <x v="7"/>
    <n v="2"/>
    <n v="12840.73"/>
    <n v="0.05"/>
    <x v="488"/>
    <n v="21365.439999999999"/>
    <n v="3031.95"/>
    <n v="25681.46"/>
    <n v="1284.0730000000001"/>
    <n v="12.427353909578031"/>
  </r>
  <r>
    <s v="ORD10490"/>
    <x v="69"/>
    <s v="CUST1012"/>
    <s v="Patna"/>
    <x v="3"/>
    <x v="1"/>
    <x v="1"/>
    <x v="6"/>
    <n v="4"/>
    <n v="1062.06"/>
    <n v="0"/>
    <x v="489"/>
    <n v="3370.55"/>
    <n v="877.69"/>
    <n v="4248.24"/>
    <n v="0"/>
    <n v="20.660085117601646"/>
  </r>
  <r>
    <s v="ORD10491"/>
    <x v="72"/>
    <s v="CUST1034"/>
    <s v="Bengaluru"/>
    <x v="2"/>
    <x v="5"/>
    <x v="3"/>
    <x v="2"/>
    <n v="2"/>
    <n v="27452.560000000001"/>
    <n v="0"/>
    <x v="490"/>
    <n v="50020.14"/>
    <n v="4884.9799999999996"/>
    <n v="54905.120000000003"/>
    <n v="0"/>
    <n v="8.8971301765664101"/>
  </r>
  <r>
    <s v="ORD10492"/>
    <x v="229"/>
    <s v="CUST1037"/>
    <s v="Nagpur"/>
    <x v="0"/>
    <x v="0"/>
    <x v="0"/>
    <x v="4"/>
    <n v="4"/>
    <n v="9120.5400000000009"/>
    <n v="0"/>
    <x v="491"/>
    <n v="28325.27"/>
    <n v="8156.89"/>
    <n v="36482.160000000003"/>
    <n v="0"/>
    <n v="22.358571970519289"/>
  </r>
  <r>
    <s v="ORD10493"/>
    <x v="130"/>
    <s v="CUST1094"/>
    <s v="Jaipur"/>
    <x v="1"/>
    <x v="0"/>
    <x v="0"/>
    <x v="7"/>
    <n v="3"/>
    <n v="10267"/>
    <n v="0"/>
    <x v="492"/>
    <n v="24766.28"/>
    <n v="6034.72"/>
    <n v="30801"/>
    <n v="0"/>
    <n v="19.592610629525016"/>
  </r>
  <r>
    <s v="ORD10494"/>
    <x v="91"/>
    <s v="CUST1101"/>
    <s v="Bengaluru"/>
    <x v="2"/>
    <x v="7"/>
    <x v="0"/>
    <x v="1"/>
    <n v="4"/>
    <n v="11215.13"/>
    <n v="0.05"/>
    <x v="493"/>
    <n v="34626.379999999997"/>
    <n v="7991.11"/>
    <n v="44860.52"/>
    <n v="2243.0259999999998"/>
    <n v="18.750775796509835"/>
  </r>
  <r>
    <s v="ORD10495"/>
    <x v="230"/>
    <s v="CUST1022"/>
    <s v="Indore"/>
    <x v="0"/>
    <x v="4"/>
    <x v="3"/>
    <x v="1"/>
    <n v="7"/>
    <n v="32132.26"/>
    <n v="0.15"/>
    <x v="494"/>
    <n v="175046.39"/>
    <n v="16140.56"/>
    <n v="224925.81999999998"/>
    <n v="33738.872999999992"/>
    <n v="8.4422916940722157"/>
  </r>
  <r>
    <s v="ORD10496"/>
    <x v="231"/>
    <s v="CUST1099"/>
    <s v="Delhi"/>
    <x v="1"/>
    <x v="1"/>
    <x v="1"/>
    <x v="3"/>
    <n v="2"/>
    <n v="2809.68"/>
    <n v="0.05"/>
    <x v="495"/>
    <n v="4437.6400000000003"/>
    <n v="900.75"/>
    <n v="5619.36"/>
    <n v="280.96800000000002"/>
    <n v="16.873064725507128"/>
  </r>
  <r>
    <s v="ORD10497"/>
    <x v="171"/>
    <s v="CUST1106"/>
    <s v="Chennai"/>
    <x v="2"/>
    <x v="7"/>
    <x v="0"/>
    <x v="0"/>
    <n v="7"/>
    <n v="6398.63"/>
    <n v="0.15"/>
    <x v="496"/>
    <n v="29411.08"/>
    <n v="8660.77"/>
    <n v="44790.41"/>
    <n v="6718.5615000000007"/>
    <n v="22.748487399482823"/>
  </r>
  <r>
    <s v="ORD10498"/>
    <x v="143"/>
    <s v="CUST1145"/>
    <s v="Pune"/>
    <x v="4"/>
    <x v="3"/>
    <x v="2"/>
    <x v="5"/>
    <n v="1"/>
    <n v="10577.42"/>
    <n v="0.05"/>
    <x v="497"/>
    <n v="8239.15"/>
    <n v="1809.4"/>
    <n v="10577.42"/>
    <n v="528.87099999999998"/>
    <n v="18.006578063501703"/>
  </r>
  <r>
    <s v="ORD10499"/>
    <x v="7"/>
    <s v="CUST1082"/>
    <s v="Patna"/>
    <x v="3"/>
    <x v="7"/>
    <x v="0"/>
    <x v="0"/>
    <n v="1"/>
    <n v="19281.84"/>
    <n v="0.1"/>
    <x v="498"/>
    <n v="12271.64"/>
    <n v="5082.0200000000004"/>
    <n v="19281.84"/>
    <n v="1928.1840000000002"/>
    <n v="29.285003855094548"/>
  </r>
  <r>
    <s v="ORD10500"/>
    <x v="29"/>
    <s v="CUST1144"/>
    <s v="Lucknow"/>
    <x v="1"/>
    <x v="6"/>
    <x v="3"/>
    <x v="5"/>
    <n v="7"/>
    <n v="30793.99"/>
    <n v="0"/>
    <x v="499"/>
    <n v="176763.58"/>
    <n v="38794.35"/>
    <n v="215557.93000000002"/>
    <n v="0"/>
    <n v="17.9971806186856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97312C-86EF-45A3-AE28-A79B3818B76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Amount" fld="11"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3AA370-B8BE-4A37-A40D-654C5FDCF76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4DFC9-A851-4717-8BEB-655BBA5F33B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3"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9A3F63-D5D7-444D-A01B-C673198C4AB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9">
    <pivotField dataField="1"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3F01B1-0656-4153-859C-0F198359217E}" name="PivotTable18"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A3:B12" firstHeaderRow="1"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9">
    <i>
      <x v="1"/>
    </i>
    <i>
      <x v="2"/>
    </i>
    <i>
      <x v="3"/>
    </i>
    <i>
      <x v="4"/>
    </i>
    <i>
      <x v="5"/>
    </i>
    <i>
      <x v="6"/>
    </i>
    <i>
      <x v="7"/>
    </i>
    <i>
      <x v="8"/>
    </i>
    <i>
      <x v="9"/>
    </i>
  </rowItems>
  <colItems count="1">
    <i/>
  </colItems>
  <dataFields count="1">
    <dataField name="Sum of Sales Amount" fld="11"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FD9D12-DE84-4E95-9A77-4EDA20628051}"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location ref="A3:C8" firstHeaderRow="0"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axis="axisRow" showAll="0">
      <items count="6">
        <item x="0"/>
        <item x="3"/>
        <item x="1"/>
        <item x="2"/>
        <item x="4"/>
        <item t="default"/>
      </items>
    </pivotField>
    <pivotField showAll="0"/>
    <pivotField showAll="0"/>
    <pivotField showAll="0"/>
    <pivotField showAll="0"/>
    <pivotField showAll="0"/>
    <pivotField showAll="0"/>
    <pivotField dataField="1" showAll="0">
      <items count="501">
        <item x="72"/>
        <item x="125"/>
        <item x="153"/>
        <item x="478"/>
        <item x="197"/>
        <item x="360"/>
        <item x="411"/>
        <item x="310"/>
        <item x="285"/>
        <item x="205"/>
        <item x="226"/>
        <item x="355"/>
        <item x="327"/>
        <item x="102"/>
        <item x="251"/>
        <item x="67"/>
        <item x="489"/>
        <item x="213"/>
        <item x="445"/>
        <item x="49"/>
        <item x="474"/>
        <item x="305"/>
        <item x="166"/>
        <item x="439"/>
        <item x="495"/>
        <item x="48"/>
        <item x="45"/>
        <item x="382"/>
        <item x="234"/>
        <item x="311"/>
        <item x="245"/>
        <item x="314"/>
        <item x="405"/>
        <item x="420"/>
        <item x="2"/>
        <item x="238"/>
        <item x="442"/>
        <item x="113"/>
        <item x="444"/>
        <item x="477"/>
        <item x="176"/>
        <item x="96"/>
        <item x="3"/>
        <item x="252"/>
        <item x="210"/>
        <item x="24"/>
        <item x="38"/>
        <item x="37"/>
        <item x="255"/>
        <item x="198"/>
        <item x="293"/>
        <item x="87"/>
        <item x="44"/>
        <item x="394"/>
        <item x="340"/>
        <item x="257"/>
        <item x="430"/>
        <item x="175"/>
        <item x="342"/>
        <item x="65"/>
        <item x="219"/>
        <item x="104"/>
        <item x="345"/>
        <item x="335"/>
        <item x="374"/>
        <item x="324"/>
        <item x="159"/>
        <item x="284"/>
        <item x="452"/>
        <item x="497"/>
        <item x="247"/>
        <item x="78"/>
        <item x="278"/>
        <item x="155"/>
        <item x="243"/>
        <item x="81"/>
        <item x="396"/>
        <item x="301"/>
        <item x="454"/>
        <item x="383"/>
        <item x="211"/>
        <item x="10"/>
        <item x="217"/>
        <item x="173"/>
        <item x="291"/>
        <item x="369"/>
        <item x="180"/>
        <item x="181"/>
        <item x="296"/>
        <item x="183"/>
        <item x="62"/>
        <item x="99"/>
        <item x="203"/>
        <item x="51"/>
        <item x="156"/>
        <item x="76"/>
        <item x="418"/>
        <item x="415"/>
        <item x="276"/>
        <item x="19"/>
        <item x="479"/>
        <item x="269"/>
        <item x="321"/>
        <item x="264"/>
        <item x="339"/>
        <item x="12"/>
        <item x="486"/>
        <item x="431"/>
        <item x="36"/>
        <item x="403"/>
        <item x="424"/>
        <item x="498"/>
        <item x="270"/>
        <item x="222"/>
        <item x="120"/>
        <item x="299"/>
        <item x="112"/>
        <item x="469"/>
        <item x="7"/>
        <item x="190"/>
        <item x="425"/>
        <item x="34"/>
        <item x="283"/>
        <item x="246"/>
        <item x="26"/>
        <item x="172"/>
        <item x="248"/>
        <item x="435"/>
        <item x="116"/>
        <item x="83"/>
        <item x="358"/>
        <item x="196"/>
        <item x="228"/>
        <item x="4"/>
        <item x="230"/>
        <item x="328"/>
        <item x="144"/>
        <item x="239"/>
        <item x="240"/>
        <item x="131"/>
        <item x="90"/>
        <item x="154"/>
        <item x="186"/>
        <item x="192"/>
        <item x="268"/>
        <item x="385"/>
        <item x="193"/>
        <item x="171"/>
        <item x="92"/>
        <item x="148"/>
        <item x="379"/>
        <item x="410"/>
        <item x="389"/>
        <item x="95"/>
        <item x="434"/>
        <item x="429"/>
        <item x="409"/>
        <item x="488"/>
        <item x="149"/>
        <item x="109"/>
        <item x="187"/>
        <item x="204"/>
        <item x="98"/>
        <item x="231"/>
        <item x="416"/>
        <item x="448"/>
        <item x="344"/>
        <item x="456"/>
        <item x="111"/>
        <item x="401"/>
        <item x="195"/>
        <item x="206"/>
        <item x="163"/>
        <item x="73"/>
        <item x="224"/>
        <item x="147"/>
        <item x="115"/>
        <item x="260"/>
        <item x="370"/>
        <item x="282"/>
        <item x="386"/>
        <item x="437"/>
        <item x="220"/>
        <item x="168"/>
        <item x="188"/>
        <item x="350"/>
        <item x="216"/>
        <item x="371"/>
        <item x="373"/>
        <item x="27"/>
        <item x="427"/>
        <item x="356"/>
        <item x="463"/>
        <item x="492"/>
        <item x="320"/>
        <item x="307"/>
        <item x="428"/>
        <item x="13"/>
        <item x="42"/>
        <item x="17"/>
        <item x="47"/>
        <item x="40"/>
        <item x="461"/>
        <item x="316"/>
        <item x="457"/>
        <item x="298"/>
        <item x="443"/>
        <item x="54"/>
        <item x="346"/>
        <item x="367"/>
        <item x="326"/>
        <item x="212"/>
        <item x="398"/>
        <item x="460"/>
        <item x="491"/>
        <item x="487"/>
        <item x="347"/>
        <item x="317"/>
        <item x="9"/>
        <item x="446"/>
        <item x="496"/>
        <item x="467"/>
        <item x="202"/>
        <item x="361"/>
        <item x="441"/>
        <item x="279"/>
        <item x="392"/>
        <item x="258"/>
        <item x="80"/>
        <item x="233"/>
        <item x="254"/>
        <item x="297"/>
        <item x="133"/>
        <item x="30"/>
        <item x="151"/>
        <item x="60"/>
        <item x="407"/>
        <item x="393"/>
        <item x="122"/>
        <item x="365"/>
        <item x="143"/>
        <item x="106"/>
        <item x="165"/>
        <item x="123"/>
        <item x="277"/>
        <item x="378"/>
        <item x="493"/>
        <item x="376"/>
        <item x="129"/>
        <item x="400"/>
        <item x="465"/>
        <item x="139"/>
        <item x="357"/>
        <item x="39"/>
        <item x="471"/>
        <item x="110"/>
        <item x="256"/>
        <item x="422"/>
        <item x="145"/>
        <item x="88"/>
        <item x="207"/>
        <item x="390"/>
        <item x="250"/>
        <item x="413"/>
        <item x="359"/>
        <item x="333"/>
        <item x="53"/>
        <item x="433"/>
        <item x="395"/>
        <item x="272"/>
        <item x="265"/>
        <item x="66"/>
        <item x="280"/>
        <item x="150"/>
        <item x="473"/>
        <item x="184"/>
        <item x="423"/>
        <item x="259"/>
        <item x="41"/>
        <item x="406"/>
        <item x="161"/>
        <item x="225"/>
        <item x="281"/>
        <item x="134"/>
        <item x="377"/>
        <item x="16"/>
        <item x="215"/>
        <item x="185"/>
        <item x="380"/>
        <item x="209"/>
        <item x="490"/>
        <item x="124"/>
        <item x="336"/>
        <item x="451"/>
        <item x="140"/>
        <item x="160"/>
        <item x="315"/>
        <item x="292"/>
        <item x="61"/>
        <item x="466"/>
        <item x="249"/>
        <item x="25"/>
        <item x="101"/>
        <item x="253"/>
        <item x="290"/>
        <item x="69"/>
        <item x="232"/>
        <item x="364"/>
        <item x="136"/>
        <item x="481"/>
        <item x="262"/>
        <item x="15"/>
        <item x="351"/>
        <item x="100"/>
        <item x="170"/>
        <item x="384"/>
        <item x="57"/>
        <item x="64"/>
        <item x="242"/>
        <item x="353"/>
        <item x="348"/>
        <item x="189"/>
        <item x="84"/>
        <item x="94"/>
        <item x="309"/>
        <item x="480"/>
        <item x="294"/>
        <item x="304"/>
        <item x="5"/>
        <item x="417"/>
        <item x="93"/>
        <item x="381"/>
        <item x="135"/>
        <item x="71"/>
        <item x="114"/>
        <item x="214"/>
        <item x="412"/>
        <item x="368"/>
        <item x="352"/>
        <item x="275"/>
        <item x="312"/>
        <item x="458"/>
        <item x="18"/>
        <item x="349"/>
        <item x="118"/>
        <item x="97"/>
        <item x="332"/>
        <item x="447"/>
        <item x="132"/>
        <item x="23"/>
        <item x="470"/>
        <item x="271"/>
        <item x="472"/>
        <item x="158"/>
        <item x="387"/>
        <item x="476"/>
        <item x="8"/>
        <item x="244"/>
        <item x="55"/>
        <item x="126"/>
        <item x="177"/>
        <item x="482"/>
        <item x="308"/>
        <item x="63"/>
        <item x="85"/>
        <item x="127"/>
        <item x="1"/>
        <item x="302"/>
        <item x="235"/>
        <item x="426"/>
        <item x="162"/>
        <item x="402"/>
        <item x="241"/>
        <item x="419"/>
        <item x="152"/>
        <item x="227"/>
        <item x="362"/>
        <item x="288"/>
        <item x="89"/>
        <item x="179"/>
        <item x="331"/>
        <item x="11"/>
        <item x="464"/>
        <item x="408"/>
        <item x="21"/>
        <item x="32"/>
        <item x="91"/>
        <item x="52"/>
        <item x="266"/>
        <item x="86"/>
        <item x="313"/>
        <item x="286"/>
        <item x="341"/>
        <item x="117"/>
        <item x="200"/>
        <item x="29"/>
        <item x="142"/>
        <item x="337"/>
        <item x="75"/>
        <item x="300"/>
        <item x="261"/>
        <item x="329"/>
        <item x="263"/>
        <item x="303"/>
        <item x="70"/>
        <item x="103"/>
        <item x="372"/>
        <item x="199"/>
        <item x="108"/>
        <item x="137"/>
        <item x="14"/>
        <item x="322"/>
        <item x="484"/>
        <item x="59"/>
        <item x="208"/>
        <item x="334"/>
        <item x="343"/>
        <item x="169"/>
        <item x="236"/>
        <item x="174"/>
        <item x="0"/>
        <item x="475"/>
        <item x="295"/>
        <item x="421"/>
        <item x="79"/>
        <item x="229"/>
        <item x="178"/>
        <item x="141"/>
        <item x="338"/>
        <item x="6"/>
        <item x="325"/>
        <item x="105"/>
        <item x="157"/>
        <item x="399"/>
        <item x="450"/>
        <item x="167"/>
        <item x="459"/>
        <item x="363"/>
        <item x="323"/>
        <item x="218"/>
        <item x="130"/>
        <item x="164"/>
        <item x="449"/>
        <item x="191"/>
        <item x="77"/>
        <item x="82"/>
        <item x="182"/>
        <item x="28"/>
        <item x="494"/>
        <item x="201"/>
        <item x="221"/>
        <item x="273"/>
        <item x="432"/>
        <item x="194"/>
        <item x="438"/>
        <item x="223"/>
        <item x="267"/>
        <item x="436"/>
        <item x="58"/>
        <item x="499"/>
        <item x="31"/>
        <item x="388"/>
        <item x="455"/>
        <item x="366"/>
        <item x="274"/>
        <item x="391"/>
        <item x="35"/>
        <item x="20"/>
        <item x="43"/>
        <item x="485"/>
        <item x="33"/>
        <item x="121"/>
        <item x="306"/>
        <item x="414"/>
        <item x="318"/>
        <item x="287"/>
        <item x="74"/>
        <item x="119"/>
        <item x="354"/>
        <item x="128"/>
        <item x="440"/>
        <item x="397"/>
        <item x="468"/>
        <item x="453"/>
        <item x="138"/>
        <item x="375"/>
        <item x="50"/>
        <item x="289"/>
        <item x="330"/>
        <item x="22"/>
        <item x="462"/>
        <item x="319"/>
        <item x="146"/>
        <item x="404"/>
        <item x="68"/>
        <item x="107"/>
        <item x="483"/>
        <item x="56"/>
        <item x="237"/>
        <item x="46"/>
        <item t="default"/>
      </items>
    </pivotField>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x v="4"/>
    </i>
  </rowItems>
  <colFields count="1">
    <field x="-2"/>
  </colFields>
  <colItems count="2">
    <i>
      <x/>
    </i>
    <i i="1">
      <x v="1"/>
    </i>
  </colItems>
  <dataFields count="2">
    <dataField name="Sum of Profit" fld="13" baseField="0" baseItem="0"/>
    <dataField name="Sum of Sales Amount" fld="11" baseField="0" baseItem="0"/>
  </dataFields>
  <chartFormats count="2">
    <chartFormat chart="30" format="4"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F6DFD6-1712-44BC-AD63-4E3F5BE12A61}"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7" firstHeaderRow="0"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axis="axisRow" showAll="0">
      <items count="5">
        <item x="1"/>
        <item x="3"/>
        <item x="0"/>
        <item x="2"/>
        <item t="default"/>
      </items>
    </pivotField>
    <pivotField showAll="0"/>
    <pivotField showAll="0"/>
    <pivotField showAll="0"/>
    <pivotField showAll="0"/>
    <pivotField dataField="1"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x v="3"/>
    </i>
  </rowItems>
  <colFields count="1">
    <field x="-2"/>
  </colFields>
  <colItems count="2">
    <i>
      <x/>
    </i>
    <i i="1">
      <x v="1"/>
    </i>
  </colItems>
  <dataFields count="2">
    <dataField name="Sum of Sales Amount" fld="11" baseField="0" baseItem="0"/>
    <dataField name="Sum of Profit" fld="13"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6CAEA8-7631-4B0E-84D3-3B67D5B21524}"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8" firstHeaderRow="1"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axis="axisRow" showAll="0" measureFilter="1">
      <items count="12">
        <item x="10"/>
        <item x="0"/>
        <item x="8"/>
        <item x="1"/>
        <item x="9"/>
        <item x="6"/>
        <item x="7"/>
        <item x="3"/>
        <item x="4"/>
        <item x="5"/>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v="1"/>
    </i>
    <i>
      <x v="4"/>
    </i>
    <i>
      <x v="5"/>
    </i>
    <i>
      <x v="7"/>
    </i>
    <i>
      <x v="8"/>
    </i>
  </rowItems>
  <colItems count="1">
    <i/>
  </colItems>
  <dataFields count="1">
    <dataField name="Sum of Sales Amount" fld="11"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272C11-9FBE-4835-A1F4-9472C0EF9405}"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2" firstHeaderRow="0" firstDataRow="1" firstDataCol="1"/>
  <pivotFields count="19">
    <pivotField showAll="0"/>
    <pivotField numFmtId="164" showAll="0">
      <items count="233">
        <item x="76"/>
        <item x="138"/>
        <item x="169"/>
        <item x="214"/>
        <item x="14"/>
        <item x="65"/>
        <item x="79"/>
        <item x="74"/>
        <item x="140"/>
        <item x="120"/>
        <item x="60"/>
        <item x="50"/>
        <item x="93"/>
        <item x="80"/>
        <item x="179"/>
        <item x="32"/>
        <item x="34"/>
        <item x="149"/>
        <item x="128"/>
        <item x="136"/>
        <item x="220"/>
        <item x="203"/>
        <item x="157"/>
        <item x="111"/>
        <item x="139"/>
        <item x="16"/>
        <item x="71"/>
        <item x="231"/>
        <item x="131"/>
        <item x="67"/>
        <item x="173"/>
        <item x="37"/>
        <item x="26"/>
        <item x="215"/>
        <item x="207"/>
        <item x="212"/>
        <item x="110"/>
        <item x="177"/>
        <item x="73"/>
        <item x="224"/>
        <item x="184"/>
        <item x="59"/>
        <item x="150"/>
        <item x="229"/>
        <item x="99"/>
        <item x="9"/>
        <item x="27"/>
        <item x="4"/>
        <item x="78"/>
        <item x="41"/>
        <item x="3"/>
        <item x="91"/>
        <item x="75"/>
        <item x="188"/>
        <item x="64"/>
        <item x="195"/>
        <item x="10"/>
        <item x="156"/>
        <item x="96"/>
        <item x="199"/>
        <item x="223"/>
        <item x="130"/>
        <item x="77"/>
        <item x="219"/>
        <item x="102"/>
        <item x="44"/>
        <item x="196"/>
        <item x="92"/>
        <item x="11"/>
        <item x="185"/>
        <item x="230"/>
        <item x="105"/>
        <item x="107"/>
        <item x="5"/>
        <item x="148"/>
        <item x="208"/>
        <item x="198"/>
        <item x="146"/>
        <item x="45"/>
        <item x="33"/>
        <item x="117"/>
        <item x="31"/>
        <item x="70"/>
        <item x="127"/>
        <item x="1"/>
        <item x="154"/>
        <item x="114"/>
        <item x="0"/>
        <item x="94"/>
        <item x="7"/>
        <item x="141"/>
        <item x="40"/>
        <item x="163"/>
        <item x="100"/>
        <item x="82"/>
        <item x="171"/>
        <item x="19"/>
        <item x="211"/>
        <item x="48"/>
        <item x="158"/>
        <item x="116"/>
        <item x="172"/>
        <item x="109"/>
        <item x="187"/>
        <item x="18"/>
        <item x="134"/>
        <item x="166"/>
        <item x="81"/>
        <item x="222"/>
        <item x="217"/>
        <item x="42"/>
        <item x="152"/>
        <item x="98"/>
        <item x="17"/>
        <item x="12"/>
        <item x="225"/>
        <item x="101"/>
        <item x="88"/>
        <item x="87"/>
        <item x="119"/>
        <item x="54"/>
        <item x="175"/>
        <item x="182"/>
        <item x="25"/>
        <item x="55"/>
        <item x="191"/>
        <item x="23"/>
        <item x="57"/>
        <item x="165"/>
        <item x="83"/>
        <item x="35"/>
        <item x="84"/>
        <item x="190"/>
        <item x="180"/>
        <item x="126"/>
        <item x="181"/>
        <item x="189"/>
        <item x="30"/>
        <item x="95"/>
        <item x="46"/>
        <item x="145"/>
        <item x="197"/>
        <item x="53"/>
        <item x="221"/>
        <item x="133"/>
        <item x="125"/>
        <item x="36"/>
        <item x="228"/>
        <item x="13"/>
        <item x="162"/>
        <item x="167"/>
        <item x="104"/>
        <item x="124"/>
        <item x="118"/>
        <item x="135"/>
        <item x="15"/>
        <item x="39"/>
        <item x="142"/>
        <item x="56"/>
        <item x="159"/>
        <item x="143"/>
        <item x="61"/>
        <item x="51"/>
        <item x="108"/>
        <item x="112"/>
        <item x="58"/>
        <item x="2"/>
        <item x="194"/>
        <item x="86"/>
        <item x="193"/>
        <item x="115"/>
        <item x="129"/>
        <item x="186"/>
        <item x="66"/>
        <item x="21"/>
        <item x="200"/>
        <item x="210"/>
        <item x="69"/>
        <item x="29"/>
        <item x="205"/>
        <item x="103"/>
        <item x="62"/>
        <item x="137"/>
        <item x="176"/>
        <item x="38"/>
        <item x="155"/>
        <item x="49"/>
        <item x="97"/>
        <item x="218"/>
        <item x="85"/>
        <item x="213"/>
        <item x="226"/>
        <item x="52"/>
        <item x="20"/>
        <item x="132"/>
        <item x="123"/>
        <item x="113"/>
        <item x="164"/>
        <item x="170"/>
        <item x="204"/>
        <item x="153"/>
        <item x="161"/>
        <item x="201"/>
        <item x="144"/>
        <item x="168"/>
        <item x="90"/>
        <item x="43"/>
        <item x="147"/>
        <item x="22"/>
        <item x="209"/>
        <item x="63"/>
        <item x="121"/>
        <item x="206"/>
        <item x="202"/>
        <item x="106"/>
        <item x="174"/>
        <item x="183"/>
        <item x="47"/>
        <item x="28"/>
        <item x="160"/>
        <item x="227"/>
        <item x="178"/>
        <item x="122"/>
        <item x="151"/>
        <item x="6"/>
        <item x="89"/>
        <item x="192"/>
        <item x="24"/>
        <item x="68"/>
        <item x="216"/>
        <item x="8"/>
        <item x="72"/>
        <item t="default"/>
      </items>
    </pivotField>
    <pivotField showAll="0"/>
    <pivotField showAll="0"/>
    <pivotField showAll="0"/>
    <pivotField showAll="0"/>
    <pivotField showAll="0"/>
    <pivotField axis="axisRow" showAll="0">
      <items count="10">
        <item x="6"/>
        <item x="3"/>
        <item x="5"/>
        <item x="1"/>
        <item x="0"/>
        <item x="4"/>
        <item x="2"/>
        <item x="8"/>
        <item x="7"/>
        <item t="default"/>
      </items>
    </pivotField>
    <pivotField showAll="0"/>
    <pivotField showAll="0"/>
    <pivotField showAll="0"/>
    <pivotField dataField="1" showAll="0"/>
    <pivotField showAll="0"/>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9">
    <i>
      <x/>
    </i>
    <i>
      <x v="1"/>
    </i>
    <i>
      <x v="2"/>
    </i>
    <i>
      <x v="3"/>
    </i>
    <i>
      <x v="4"/>
    </i>
    <i>
      <x v="5"/>
    </i>
    <i>
      <x v="6"/>
    </i>
    <i>
      <x v="7"/>
    </i>
    <i>
      <x v="8"/>
    </i>
  </rowItems>
  <colFields count="1">
    <field x="-2"/>
  </colFields>
  <colItems count="2">
    <i>
      <x/>
    </i>
    <i i="1">
      <x v="1"/>
    </i>
  </colItems>
  <dataFields count="2">
    <dataField name="Sum of Sales Amount" fld="11" baseField="0" baseItem="0"/>
    <dataField name="Sum of Profit" fld="1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56B79B-579E-465D-B041-BBCBFEB69A85}" sourceName="Region">
  <pivotTables>
    <pivotTable tabId="6" name="PivotTable19"/>
  </pivotTables>
  <data>
    <tabular pivotCacheId="621852226">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5DC234-2254-4C97-89ED-C3B73EF6184D}" sourceName="Category">
  <pivotTables>
    <pivotTable tabId="7" name="PivotTable20"/>
  </pivotTables>
  <data>
    <tabular pivotCacheId="621852226">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7E9C553-592A-43DB-9F40-451154BCA31A}" sourceName="Product">
  <pivotTables>
    <pivotTable tabId="8" name="PivotTable21"/>
  </pivotTables>
  <data>
    <tabular pivotCacheId="621852226">
      <items count="11">
        <i x="10" s="1"/>
        <i x="0" s="1"/>
        <i x="8" s="1"/>
        <i x="1" s="1"/>
        <i x="9" s="1"/>
        <i x="6" s="1"/>
        <i x="7" s="1"/>
        <i x="3" s="1"/>
        <i x="4"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7D2B7E1-54EB-4DEA-8641-8C5C643C6DC2}" sourceName="Salesperson">
  <pivotTables>
    <pivotTable tabId="9" name="PivotTable22"/>
  </pivotTables>
  <data>
    <tabular pivotCacheId="621852226">
      <items count="9">
        <i x="6" s="1"/>
        <i x="3" s="1"/>
        <i x="5" s="1"/>
        <i x="1" s="1"/>
        <i x="0" s="1"/>
        <i x="4" s="1"/>
        <i x="2"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B7790E-856A-44C3-BD87-224335D117EA}" cache="Slicer_Region" caption="Region" rowHeight="234950"/>
  <slicer name="Category" xr10:uid="{A6BA7B22-EB74-4490-A939-A27A32149500}" cache="Slicer_Category" caption="Category" rowHeight="234950"/>
  <slicer name="Product" xr10:uid="{F836CB4F-78BC-422A-AFFA-5FE21DF17F66}" cache="Slicer_Product" caption="Product" startItem="3" rowHeight="234950"/>
  <slicer name="Salesperson" xr10:uid="{55449656-480D-4600-A8EE-564EAD0BDD3D}" cache="Slicer_Salesperson" caption="Salesper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2DF309-646A-4E0C-A268-6E75B4467591}" sourceName="Order Date">
  <pivotTables>
    <pivotTable tabId="5" name="PivotTable18"/>
  </pivotTables>
  <state minimalRefreshVersion="6" lastRefreshVersion="6" pivotCacheId="621852226"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C100626-7F28-4C11-9238-68E27FD6FEB6}" cache="NativeTimeline_Order_Date" caption="Order Date" level="2" selectionLevel="2" scrollPosition="2026-05-17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B9F19-ECE6-4CA8-A380-3E6D80DAFAC0}">
  <dimension ref="A3:E19"/>
  <sheetViews>
    <sheetView workbookViewId="0">
      <selection activeCell="C19" sqref="C19"/>
    </sheetView>
  </sheetViews>
  <sheetFormatPr defaultRowHeight="14.4" x14ac:dyDescent="0.3"/>
  <cols>
    <col min="1" max="1" width="19.21875" bestFit="1" customWidth="1"/>
    <col min="2" max="2" width="14.88671875" bestFit="1" customWidth="1"/>
    <col min="3" max="4" width="15.88671875" bestFit="1" customWidth="1"/>
    <col min="5" max="6" width="12.109375" bestFit="1" customWidth="1"/>
  </cols>
  <sheetData>
    <row r="3" spans="1:5" x14ac:dyDescent="0.3">
      <c r="A3" t="s">
        <v>712</v>
      </c>
      <c r="C3" t="s">
        <v>713</v>
      </c>
      <c r="E3" t="s">
        <v>715</v>
      </c>
    </row>
    <row r="4" spans="1:5" x14ac:dyDescent="0.3">
      <c r="A4" s="6">
        <v>38046856.239999957</v>
      </c>
      <c r="C4">
        <v>500</v>
      </c>
      <c r="E4" s="6">
        <v>5675173.8699999955</v>
      </c>
    </row>
    <row r="8" spans="1:5" x14ac:dyDescent="0.3">
      <c r="A8" t="s">
        <v>714</v>
      </c>
      <c r="C8" t="s">
        <v>716</v>
      </c>
      <c r="E8" t="s">
        <v>717</v>
      </c>
    </row>
    <row r="9" spans="1:5" x14ac:dyDescent="0.3">
      <c r="A9">
        <v>1976</v>
      </c>
      <c r="C9" s="7">
        <f>GETPIVOTDATA("Sales Amount",$A$3)/GETPIVOTDATA("Order ID",$C$3)</f>
        <v>76093.712479999915</v>
      </c>
      <c r="E9" s="8">
        <f>GETPIVOTDATA("Profit",$E$3)/GETPIVOTDATA("Sales Amount",$A$3)</f>
        <v>0.14916275432064455</v>
      </c>
    </row>
    <row r="15" spans="1:5" x14ac:dyDescent="0.3">
      <c r="A15" s="6">
        <f>GETPIVOTDATA("Sales Amount",$A$3)</f>
        <v>38046856.239999957</v>
      </c>
      <c r="C15">
        <f>GETPIVOTDATA("Order ID",$C$3)</f>
        <v>500</v>
      </c>
      <c r="E15" s="6">
        <f>GETPIVOTDATA("Profit",$E$3)</f>
        <v>5675173.8699999955</v>
      </c>
    </row>
    <row r="19" spans="1:3" x14ac:dyDescent="0.3">
      <c r="A19">
        <f>GETPIVOTDATA("Quantity",$A$8)</f>
        <v>1976</v>
      </c>
      <c r="C1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69B93-E8C4-428C-8830-18242A1645BC}">
  <sheetPr>
    <pageSetUpPr autoPageBreaks="0"/>
  </sheetPr>
  <dimension ref="A1"/>
  <sheetViews>
    <sheetView showGridLines="0" tabSelected="1" topLeftCell="A4" zoomScale="50" zoomScaleNormal="50" workbookViewId="0">
      <selection activeCell="G66" sqref="G6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F3C73-EAEF-41E3-9B34-9B0558FDF846}">
  <dimension ref="A3:B12"/>
  <sheetViews>
    <sheetView topLeftCell="A2" workbookViewId="0">
      <selection activeCell="M11" sqref="M11"/>
    </sheetView>
  </sheetViews>
  <sheetFormatPr defaultRowHeight="14.4" x14ac:dyDescent="0.3"/>
  <cols>
    <col min="1" max="1" width="12.5546875" bestFit="1" customWidth="1"/>
    <col min="2" max="2" width="19.21875" bestFit="1" customWidth="1"/>
  </cols>
  <sheetData>
    <row r="3" spans="1:2" x14ac:dyDescent="0.3">
      <c r="A3" s="4" t="s">
        <v>718</v>
      </c>
      <c r="B3" t="s">
        <v>712</v>
      </c>
    </row>
    <row r="4" spans="1:2" x14ac:dyDescent="0.3">
      <c r="A4" s="5" t="s">
        <v>719</v>
      </c>
      <c r="B4">
        <v>5538248.6499999966</v>
      </c>
    </row>
    <row r="5" spans="1:2" x14ac:dyDescent="0.3">
      <c r="A5" s="5" t="s">
        <v>720</v>
      </c>
      <c r="B5">
        <v>3360638.19</v>
      </c>
    </row>
    <row r="6" spans="1:2" x14ac:dyDescent="0.3">
      <c r="A6" s="5" t="s">
        <v>721</v>
      </c>
      <c r="B6">
        <v>3216058.1300000004</v>
      </c>
    </row>
    <row r="7" spans="1:2" x14ac:dyDescent="0.3">
      <c r="A7" s="5" t="s">
        <v>722</v>
      </c>
      <c r="B7">
        <v>5080079.2500000019</v>
      </c>
    </row>
    <row r="8" spans="1:2" x14ac:dyDescent="0.3">
      <c r="A8" s="5" t="s">
        <v>723</v>
      </c>
      <c r="B8">
        <v>4050682.5700000003</v>
      </c>
    </row>
    <row r="9" spans="1:2" x14ac:dyDescent="0.3">
      <c r="A9" s="5" t="s">
        <v>724</v>
      </c>
      <c r="B9">
        <v>2863261.9899999998</v>
      </c>
    </row>
    <row r="10" spans="1:2" x14ac:dyDescent="0.3">
      <c r="A10" s="5" t="s">
        <v>725</v>
      </c>
      <c r="B10">
        <v>5604009.7800000021</v>
      </c>
    </row>
    <row r="11" spans="1:2" x14ac:dyDescent="0.3">
      <c r="A11" s="5" t="s">
        <v>726</v>
      </c>
      <c r="B11">
        <v>3998726.04</v>
      </c>
    </row>
    <row r="12" spans="1:2" x14ac:dyDescent="0.3">
      <c r="A12" s="5" t="s">
        <v>727</v>
      </c>
      <c r="B12">
        <v>4335151.6400000006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A22F-1604-4ABF-88AC-3E869D758C46}">
  <dimension ref="A3:C8"/>
  <sheetViews>
    <sheetView workbookViewId="0">
      <selection activeCell="F22" sqref="F22"/>
    </sheetView>
  </sheetViews>
  <sheetFormatPr defaultRowHeight="14.4" x14ac:dyDescent="0.3"/>
  <cols>
    <col min="1" max="1" width="12.5546875" bestFit="1" customWidth="1"/>
    <col min="2" max="2" width="12.109375" bestFit="1" customWidth="1"/>
    <col min="3" max="3" width="19.21875" bestFit="1" customWidth="1"/>
  </cols>
  <sheetData>
    <row r="3" spans="1:3" x14ac:dyDescent="0.3">
      <c r="A3" s="4" t="s">
        <v>718</v>
      </c>
      <c r="B3" t="s">
        <v>715</v>
      </c>
      <c r="C3" t="s">
        <v>712</v>
      </c>
    </row>
    <row r="4" spans="1:3" x14ac:dyDescent="0.3">
      <c r="A4" s="5" t="s">
        <v>17</v>
      </c>
      <c r="B4">
        <v>1060298.21</v>
      </c>
      <c r="C4">
        <v>7052448.8600000013</v>
      </c>
    </row>
    <row r="5" spans="1:3" x14ac:dyDescent="0.3">
      <c r="A5" s="5" t="s">
        <v>36</v>
      </c>
      <c r="B5">
        <v>1228906.8600000001</v>
      </c>
      <c r="C5">
        <v>8206522.0600000024</v>
      </c>
    </row>
    <row r="6" spans="1:3" x14ac:dyDescent="0.3">
      <c r="A6" s="5" t="s">
        <v>24</v>
      </c>
      <c r="B6">
        <v>1011395.1199999998</v>
      </c>
      <c r="C6">
        <v>6257301.2100000028</v>
      </c>
    </row>
    <row r="7" spans="1:3" x14ac:dyDescent="0.3">
      <c r="A7" s="5" t="s">
        <v>29</v>
      </c>
      <c r="B7">
        <v>1062900.51</v>
      </c>
      <c r="C7">
        <v>7284234.3899999987</v>
      </c>
    </row>
    <row r="8" spans="1:3" x14ac:dyDescent="0.3">
      <c r="A8" s="5" t="s">
        <v>90</v>
      </c>
      <c r="B8">
        <v>1311673.1699999995</v>
      </c>
      <c r="C8">
        <v>9246349.7200000025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E2D9E-CE78-446D-B2B8-F7DD609CD550}">
  <dimension ref="A3:C7"/>
  <sheetViews>
    <sheetView workbookViewId="0">
      <selection activeCell="F24" sqref="F24"/>
    </sheetView>
  </sheetViews>
  <sheetFormatPr defaultRowHeight="14.4" x14ac:dyDescent="0.3"/>
  <cols>
    <col min="1" max="1" width="15.21875" bestFit="1" customWidth="1"/>
    <col min="2" max="2" width="19.21875" bestFit="1" customWidth="1"/>
    <col min="3" max="3" width="12.109375" bestFit="1" customWidth="1"/>
  </cols>
  <sheetData>
    <row r="3" spans="1:3" x14ac:dyDescent="0.3">
      <c r="A3" s="4" t="s">
        <v>718</v>
      </c>
      <c r="B3" t="s">
        <v>712</v>
      </c>
      <c r="C3" t="s">
        <v>715</v>
      </c>
    </row>
    <row r="4" spans="1:3" x14ac:dyDescent="0.3">
      <c r="A4" s="5" t="s">
        <v>31</v>
      </c>
      <c r="B4">
        <v>2960282.0200000019</v>
      </c>
      <c r="C4">
        <v>589326.4</v>
      </c>
    </row>
    <row r="5" spans="1:3" x14ac:dyDescent="0.3">
      <c r="A5" s="5" t="s">
        <v>46</v>
      </c>
      <c r="B5">
        <v>25406574.379999995</v>
      </c>
      <c r="C5">
        <v>3107207.9300000006</v>
      </c>
    </row>
    <row r="6" spans="1:3" x14ac:dyDescent="0.3">
      <c r="A6" s="5" t="s">
        <v>19</v>
      </c>
      <c r="B6">
        <v>6148710.3500000043</v>
      </c>
      <c r="C6">
        <v>1421486.1299999997</v>
      </c>
    </row>
    <row r="7" spans="1:3" x14ac:dyDescent="0.3">
      <c r="A7" s="5" t="s">
        <v>42</v>
      </c>
      <c r="B7">
        <v>3531289.49</v>
      </c>
      <c r="C7">
        <v>557153.40999999992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C39A-F677-4AEE-96C4-E416FF15A02E}">
  <dimension ref="A3:B8"/>
  <sheetViews>
    <sheetView workbookViewId="0">
      <selection activeCell="K4" sqref="K4"/>
    </sheetView>
  </sheetViews>
  <sheetFormatPr defaultRowHeight="14.4" x14ac:dyDescent="0.3"/>
  <cols>
    <col min="1" max="1" width="12.5546875" bestFit="1" customWidth="1"/>
    <col min="2" max="2" width="19.21875" bestFit="1" customWidth="1"/>
  </cols>
  <sheetData>
    <row r="3" spans="1:2" x14ac:dyDescent="0.3">
      <c r="A3" s="4" t="s">
        <v>718</v>
      </c>
      <c r="B3" t="s">
        <v>712</v>
      </c>
    </row>
    <row r="4" spans="1:2" x14ac:dyDescent="0.3">
      <c r="A4" s="5" t="s">
        <v>18</v>
      </c>
      <c r="B4">
        <v>3448100.71</v>
      </c>
    </row>
    <row r="5" spans="1:2" x14ac:dyDescent="0.3">
      <c r="A5" s="5" t="s">
        <v>86</v>
      </c>
      <c r="B5">
        <v>11680007.160000002</v>
      </c>
    </row>
    <row r="6" spans="1:2" x14ac:dyDescent="0.3">
      <c r="A6" s="5" t="s">
        <v>53</v>
      </c>
      <c r="B6">
        <v>3693935.91</v>
      </c>
    </row>
    <row r="7" spans="1:2" x14ac:dyDescent="0.3">
      <c r="A7" s="5" t="s">
        <v>41</v>
      </c>
      <c r="B7">
        <v>3531289.49</v>
      </c>
    </row>
    <row r="8" spans="1:2" x14ac:dyDescent="0.3">
      <c r="A8" s="5" t="s">
        <v>45</v>
      </c>
      <c r="B8">
        <v>6838384.5700000003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0DE22-3E72-4FEE-9A5A-6DE33307973C}">
  <dimension ref="A3:C12"/>
  <sheetViews>
    <sheetView workbookViewId="0">
      <selection activeCell="B33" sqref="B33"/>
    </sheetView>
  </sheetViews>
  <sheetFormatPr defaultRowHeight="14.4" x14ac:dyDescent="0.3"/>
  <cols>
    <col min="1" max="1" width="12.5546875" bestFit="1" customWidth="1"/>
    <col min="2" max="2" width="19.21875" bestFit="1" customWidth="1"/>
    <col min="3" max="3" width="12.109375" bestFit="1" customWidth="1"/>
  </cols>
  <sheetData>
    <row r="3" spans="1:3" x14ac:dyDescent="0.3">
      <c r="A3" s="4" t="s">
        <v>718</v>
      </c>
      <c r="B3" t="s">
        <v>712</v>
      </c>
      <c r="C3" t="s">
        <v>715</v>
      </c>
    </row>
    <row r="4" spans="1:3" x14ac:dyDescent="0.3">
      <c r="A4" s="5" t="s">
        <v>69</v>
      </c>
      <c r="B4">
        <v>5327555.3299999991</v>
      </c>
      <c r="C4">
        <v>749748.78</v>
      </c>
    </row>
    <row r="5" spans="1:3" x14ac:dyDescent="0.3">
      <c r="A5" s="5" t="s">
        <v>38</v>
      </c>
      <c r="B5">
        <v>4476948.1499999994</v>
      </c>
      <c r="C5">
        <v>662436.79</v>
      </c>
    </row>
    <row r="6" spans="1:3" x14ac:dyDescent="0.3">
      <c r="A6" s="5" t="s">
        <v>54</v>
      </c>
      <c r="B6">
        <v>5237271.2200000016</v>
      </c>
      <c r="C6">
        <v>812934.82</v>
      </c>
    </row>
    <row r="7" spans="1:3" x14ac:dyDescent="0.3">
      <c r="A7" s="5" t="s">
        <v>25</v>
      </c>
      <c r="B7">
        <v>4984401.0799999982</v>
      </c>
      <c r="C7">
        <v>783009.15999999992</v>
      </c>
    </row>
    <row r="8" spans="1:3" x14ac:dyDescent="0.3">
      <c r="A8" s="5" t="s">
        <v>20</v>
      </c>
      <c r="B8">
        <v>4405350.66</v>
      </c>
      <c r="C8">
        <v>633980.63000000024</v>
      </c>
    </row>
    <row r="9" spans="1:3" x14ac:dyDescent="0.3">
      <c r="A9" s="5" t="s">
        <v>50</v>
      </c>
      <c r="B9">
        <v>4663637.2400000021</v>
      </c>
      <c r="C9">
        <v>654281.2300000001</v>
      </c>
    </row>
    <row r="10" spans="1:3" x14ac:dyDescent="0.3">
      <c r="A10" s="5" t="s">
        <v>32</v>
      </c>
      <c r="B10">
        <v>4486781.95</v>
      </c>
      <c r="C10">
        <v>671587.28999999992</v>
      </c>
    </row>
    <row r="11" spans="1:3" x14ac:dyDescent="0.3">
      <c r="A11" s="5" t="s">
        <v>289</v>
      </c>
      <c r="B11">
        <v>41779.120000000003</v>
      </c>
      <c r="C11">
        <v>12110.04</v>
      </c>
    </row>
    <row r="12" spans="1:3" x14ac:dyDescent="0.3">
      <c r="A12" s="5" t="s">
        <v>103</v>
      </c>
      <c r="B12">
        <v>4423131.49</v>
      </c>
      <c r="C12">
        <v>695085.13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workbookViewId="0">
      <selection activeCell="I26" sqref="I26"/>
    </sheetView>
  </sheetViews>
  <sheetFormatPr defaultRowHeight="14.4" x14ac:dyDescent="0.3"/>
  <cols>
    <col min="1" max="1" width="9.6640625" bestFit="1" customWidth="1"/>
    <col min="2" max="2" width="18.109375" bestFit="1" customWidth="1"/>
    <col min="3" max="3" width="11.33203125" bestFit="1" customWidth="1"/>
    <col min="5" max="5" width="6.88671875" bestFit="1" customWidth="1"/>
    <col min="6" max="6" width="11.109375" bestFit="1" customWidth="1"/>
    <col min="7" max="7" width="15.21875" bestFit="1" customWidth="1"/>
    <col min="8" max="8" width="11" bestFit="1" customWidth="1"/>
    <col min="9" max="9" width="8.33203125" bestFit="1" customWidth="1"/>
    <col min="10" max="10" width="9.109375" bestFit="1" customWidth="1"/>
    <col min="11" max="11" width="10.21875" bestFit="1" customWidth="1"/>
    <col min="12" max="12" width="17" bestFit="1" customWidth="1"/>
    <col min="13" max="13" width="10" bestFit="1" customWidth="1"/>
    <col min="14" max="14" width="10.109375" bestFit="1" customWidth="1"/>
    <col min="15" max="15" width="10" bestFit="1" customWidth="1"/>
    <col min="16" max="16" width="15.5546875" bestFit="1" customWidth="1"/>
    <col min="17" max="17" width="12"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3" t="s">
        <v>709</v>
      </c>
      <c r="P1" s="3" t="s">
        <v>710</v>
      </c>
      <c r="Q1" s="3" t="s">
        <v>711</v>
      </c>
    </row>
    <row r="2" spans="1:17" x14ac:dyDescent="0.3">
      <c r="A2" t="s">
        <v>14</v>
      </c>
      <c r="B2" s="2">
        <v>46125</v>
      </c>
      <c r="C2" t="s">
        <v>15</v>
      </c>
      <c r="D2" t="s">
        <v>16</v>
      </c>
      <c r="E2" t="s">
        <v>17</v>
      </c>
      <c r="F2" t="s">
        <v>18</v>
      </c>
      <c r="G2" t="s">
        <v>19</v>
      </c>
      <c r="H2" t="s">
        <v>20</v>
      </c>
      <c r="I2">
        <v>7</v>
      </c>
      <c r="J2">
        <v>19571.830000000002</v>
      </c>
      <c r="K2">
        <v>0</v>
      </c>
      <c r="L2">
        <v>137002.81</v>
      </c>
      <c r="M2">
        <v>113438.74</v>
      </c>
      <c r="N2">
        <v>23564.07</v>
      </c>
      <c r="O2">
        <f>I2*J2</f>
        <v>137002.81</v>
      </c>
      <c r="P2">
        <f>O2*K2</f>
        <v>0</v>
      </c>
      <c r="Q2">
        <f>N2/L2*100</f>
        <v>17.199698312757235</v>
      </c>
    </row>
    <row r="3" spans="1:17" x14ac:dyDescent="0.3">
      <c r="A3" t="s">
        <v>21</v>
      </c>
      <c r="B3" s="2">
        <v>46122</v>
      </c>
      <c r="C3" t="s">
        <v>22</v>
      </c>
      <c r="D3" t="s">
        <v>23</v>
      </c>
      <c r="E3" t="s">
        <v>24</v>
      </c>
      <c r="F3" t="s">
        <v>18</v>
      </c>
      <c r="G3" t="s">
        <v>19</v>
      </c>
      <c r="H3" t="s">
        <v>25</v>
      </c>
      <c r="I3">
        <v>5</v>
      </c>
      <c r="J3">
        <v>20668.66</v>
      </c>
      <c r="K3">
        <v>0.15</v>
      </c>
      <c r="L3">
        <v>87841.8</v>
      </c>
      <c r="M3">
        <v>65012.32</v>
      </c>
      <c r="N3">
        <v>22829.48</v>
      </c>
      <c r="O3">
        <f t="shared" ref="O3:O66" si="0">I3*J3</f>
        <v>103343.3</v>
      </c>
      <c r="P3">
        <f t="shared" ref="P3:P66" si="1">O3*K3</f>
        <v>15501.494999999999</v>
      </c>
      <c r="Q3">
        <f t="shared" ref="Q3:Q66" si="2">N3/L3*100</f>
        <v>25.989312605160642</v>
      </c>
    </row>
    <row r="4" spans="1:17" x14ac:dyDescent="0.3">
      <c r="A4" t="s">
        <v>26</v>
      </c>
      <c r="B4" s="2">
        <v>46214</v>
      </c>
      <c r="C4" t="s">
        <v>27</v>
      </c>
      <c r="D4" t="s">
        <v>28</v>
      </c>
      <c r="E4" t="s">
        <v>29</v>
      </c>
      <c r="F4" t="s">
        <v>30</v>
      </c>
      <c r="G4" t="s">
        <v>31</v>
      </c>
      <c r="H4" t="s">
        <v>32</v>
      </c>
      <c r="I4">
        <v>2</v>
      </c>
      <c r="J4">
        <v>3393.42</v>
      </c>
      <c r="K4">
        <v>0.05</v>
      </c>
      <c r="L4">
        <v>6447.5</v>
      </c>
      <c r="M4">
        <v>5118.33</v>
      </c>
      <c r="N4">
        <v>1329.17</v>
      </c>
      <c r="O4">
        <f t="shared" si="0"/>
        <v>6786.84</v>
      </c>
      <c r="P4">
        <f t="shared" si="1"/>
        <v>339.34200000000004</v>
      </c>
      <c r="Q4">
        <f t="shared" si="2"/>
        <v>20.615277239240019</v>
      </c>
    </row>
    <row r="5" spans="1:17" x14ac:dyDescent="0.3">
      <c r="A5" t="s">
        <v>33</v>
      </c>
      <c r="B5" s="2">
        <v>46081</v>
      </c>
      <c r="C5" t="s">
        <v>34</v>
      </c>
      <c r="D5" t="s">
        <v>35</v>
      </c>
      <c r="E5" t="s">
        <v>36</v>
      </c>
      <c r="F5" t="s">
        <v>37</v>
      </c>
      <c r="G5" t="s">
        <v>31</v>
      </c>
      <c r="H5" t="s">
        <v>38</v>
      </c>
      <c r="I5">
        <v>4</v>
      </c>
      <c r="J5">
        <v>1896.66</v>
      </c>
      <c r="K5">
        <v>0</v>
      </c>
      <c r="L5">
        <v>7586.64</v>
      </c>
      <c r="M5">
        <v>6109.31</v>
      </c>
      <c r="N5">
        <v>1477.33</v>
      </c>
      <c r="O5">
        <f t="shared" si="0"/>
        <v>7586.64</v>
      </c>
      <c r="P5">
        <f t="shared" si="1"/>
        <v>0</v>
      </c>
      <c r="Q5">
        <f t="shared" si="2"/>
        <v>19.472783735619455</v>
      </c>
    </row>
    <row r="6" spans="1:17" x14ac:dyDescent="0.3">
      <c r="A6" t="s">
        <v>39</v>
      </c>
      <c r="B6" s="2">
        <v>46077</v>
      </c>
      <c r="C6" t="s">
        <v>40</v>
      </c>
      <c r="D6" t="s">
        <v>16</v>
      </c>
      <c r="E6" t="s">
        <v>17</v>
      </c>
      <c r="F6" t="s">
        <v>41</v>
      </c>
      <c r="G6" t="s">
        <v>42</v>
      </c>
      <c r="H6" t="s">
        <v>38</v>
      </c>
      <c r="I6">
        <v>3</v>
      </c>
      <c r="J6">
        <v>7114.81</v>
      </c>
      <c r="K6">
        <v>0.05</v>
      </c>
      <c r="L6">
        <v>20277.21</v>
      </c>
      <c r="M6">
        <v>17153.3</v>
      </c>
      <c r="N6">
        <v>3123.91</v>
      </c>
      <c r="O6">
        <f t="shared" si="0"/>
        <v>21344.43</v>
      </c>
      <c r="P6">
        <f t="shared" si="1"/>
        <v>1067.2215000000001</v>
      </c>
      <c r="Q6">
        <f t="shared" si="2"/>
        <v>15.406014930061875</v>
      </c>
    </row>
    <row r="7" spans="1:17" x14ac:dyDescent="0.3">
      <c r="A7" t="s">
        <v>43</v>
      </c>
      <c r="B7" s="2">
        <v>46111</v>
      </c>
      <c r="C7" t="s">
        <v>44</v>
      </c>
      <c r="D7" t="s">
        <v>28</v>
      </c>
      <c r="E7" t="s">
        <v>29</v>
      </c>
      <c r="F7" t="s">
        <v>45</v>
      </c>
      <c r="G7" t="s">
        <v>46</v>
      </c>
      <c r="H7" t="s">
        <v>38</v>
      </c>
      <c r="I7">
        <v>2</v>
      </c>
      <c r="J7">
        <v>34270.83</v>
      </c>
      <c r="K7">
        <v>0</v>
      </c>
      <c r="L7">
        <v>68541.66</v>
      </c>
      <c r="M7">
        <v>60208.3</v>
      </c>
      <c r="N7">
        <v>8333.36</v>
      </c>
      <c r="O7">
        <f t="shared" si="0"/>
        <v>68541.66</v>
      </c>
      <c r="P7">
        <f t="shared" si="1"/>
        <v>0</v>
      </c>
      <c r="Q7">
        <f t="shared" si="2"/>
        <v>12.158094799571531</v>
      </c>
    </row>
    <row r="8" spans="1:17" x14ac:dyDescent="0.3">
      <c r="A8" t="s">
        <v>47</v>
      </c>
      <c r="B8" s="2">
        <v>46286</v>
      </c>
      <c r="C8" t="s">
        <v>48</v>
      </c>
      <c r="D8" t="s">
        <v>35</v>
      </c>
      <c r="E8" t="s">
        <v>36</v>
      </c>
      <c r="F8" t="s">
        <v>49</v>
      </c>
      <c r="G8" t="s">
        <v>46</v>
      </c>
      <c r="H8" t="s">
        <v>50</v>
      </c>
      <c r="I8">
        <v>4</v>
      </c>
      <c r="J8">
        <v>37460.97</v>
      </c>
      <c r="K8">
        <v>0</v>
      </c>
      <c r="L8">
        <v>149843.88</v>
      </c>
      <c r="M8">
        <v>129168.04</v>
      </c>
      <c r="N8">
        <v>20675.84</v>
      </c>
      <c r="O8">
        <f t="shared" si="0"/>
        <v>149843.88</v>
      </c>
      <c r="P8">
        <f t="shared" si="1"/>
        <v>0</v>
      </c>
      <c r="Q8">
        <f t="shared" si="2"/>
        <v>13.798254556675921</v>
      </c>
    </row>
    <row r="9" spans="1:17" x14ac:dyDescent="0.3">
      <c r="A9" t="s">
        <v>51</v>
      </c>
      <c r="B9" s="2">
        <v>46128</v>
      </c>
      <c r="C9" t="s">
        <v>52</v>
      </c>
      <c r="D9" t="s">
        <v>16</v>
      </c>
      <c r="E9" t="s">
        <v>17</v>
      </c>
      <c r="F9" t="s">
        <v>53</v>
      </c>
      <c r="G9" t="s">
        <v>46</v>
      </c>
      <c r="H9" t="s">
        <v>54</v>
      </c>
      <c r="I9">
        <v>2</v>
      </c>
      <c r="J9">
        <v>9814.15</v>
      </c>
      <c r="K9">
        <v>0.1</v>
      </c>
      <c r="L9">
        <v>17665.47</v>
      </c>
      <c r="M9">
        <v>14239.25</v>
      </c>
      <c r="N9">
        <v>3426.22</v>
      </c>
      <c r="O9">
        <f t="shared" si="0"/>
        <v>19628.3</v>
      </c>
      <c r="P9">
        <f t="shared" si="1"/>
        <v>1962.83</v>
      </c>
      <c r="Q9">
        <f t="shared" si="2"/>
        <v>19.395011850802721</v>
      </c>
    </row>
    <row r="10" spans="1:17" x14ac:dyDescent="0.3">
      <c r="A10" t="s">
        <v>55</v>
      </c>
      <c r="B10" s="2">
        <v>46293</v>
      </c>
      <c r="C10" t="s">
        <v>56</v>
      </c>
      <c r="D10" t="s">
        <v>23</v>
      </c>
      <c r="E10" t="s">
        <v>24</v>
      </c>
      <c r="F10" t="s">
        <v>57</v>
      </c>
      <c r="G10" t="s">
        <v>19</v>
      </c>
      <c r="H10" t="s">
        <v>54</v>
      </c>
      <c r="I10">
        <v>6</v>
      </c>
      <c r="J10">
        <v>13854.18</v>
      </c>
      <c r="K10">
        <v>0</v>
      </c>
      <c r="L10">
        <v>83125.08</v>
      </c>
      <c r="M10">
        <v>64285.51</v>
      </c>
      <c r="N10">
        <v>18839.57</v>
      </c>
      <c r="O10">
        <f t="shared" si="0"/>
        <v>83125.08</v>
      </c>
      <c r="P10">
        <f t="shared" si="1"/>
        <v>0</v>
      </c>
      <c r="Q10">
        <f t="shared" si="2"/>
        <v>22.66412254881439</v>
      </c>
    </row>
    <row r="11" spans="1:17" x14ac:dyDescent="0.3">
      <c r="A11" t="s">
        <v>58</v>
      </c>
      <c r="B11" s="2">
        <v>46075</v>
      </c>
      <c r="C11" t="s">
        <v>59</v>
      </c>
      <c r="D11" t="s">
        <v>23</v>
      </c>
      <c r="E11" t="s">
        <v>24</v>
      </c>
      <c r="F11" t="s">
        <v>37</v>
      </c>
      <c r="G11" t="s">
        <v>31</v>
      </c>
      <c r="H11" t="s">
        <v>20</v>
      </c>
      <c r="I11">
        <v>4</v>
      </c>
      <c r="J11">
        <v>9704.67</v>
      </c>
      <c r="K11">
        <v>0.05</v>
      </c>
      <c r="L11">
        <v>36877.75</v>
      </c>
      <c r="M11">
        <v>31091.23</v>
      </c>
      <c r="N11">
        <v>5786.52</v>
      </c>
      <c r="O11">
        <f t="shared" si="0"/>
        <v>38818.68</v>
      </c>
      <c r="P11">
        <f t="shared" si="1"/>
        <v>1940.9340000000002</v>
      </c>
      <c r="Q11">
        <f t="shared" si="2"/>
        <v>15.691087444326188</v>
      </c>
    </row>
    <row r="12" spans="1:17" x14ac:dyDescent="0.3">
      <c r="A12" t="s">
        <v>60</v>
      </c>
      <c r="B12" s="2">
        <v>46087</v>
      </c>
      <c r="C12" t="s">
        <v>61</v>
      </c>
      <c r="D12" t="s">
        <v>62</v>
      </c>
      <c r="E12" t="s">
        <v>24</v>
      </c>
      <c r="F12" t="s">
        <v>57</v>
      </c>
      <c r="G12" t="s">
        <v>19</v>
      </c>
      <c r="H12" t="s">
        <v>32</v>
      </c>
      <c r="I12">
        <v>1</v>
      </c>
      <c r="J12">
        <v>12197.83</v>
      </c>
      <c r="K12">
        <v>0</v>
      </c>
      <c r="L12">
        <v>12197.83</v>
      </c>
      <c r="M12">
        <v>9994.14</v>
      </c>
      <c r="N12">
        <v>2203.69</v>
      </c>
      <c r="O12">
        <f t="shared" si="0"/>
        <v>12197.83</v>
      </c>
      <c r="P12">
        <f t="shared" si="1"/>
        <v>0</v>
      </c>
      <c r="Q12">
        <f t="shared" si="2"/>
        <v>18.066246209366749</v>
      </c>
    </row>
    <row r="13" spans="1:17" x14ac:dyDescent="0.3">
      <c r="A13" t="s">
        <v>63</v>
      </c>
      <c r="B13" s="2">
        <v>46103</v>
      </c>
      <c r="C13" t="s">
        <v>64</v>
      </c>
      <c r="D13" t="s">
        <v>23</v>
      </c>
      <c r="E13" t="s">
        <v>24</v>
      </c>
      <c r="F13" t="s">
        <v>49</v>
      </c>
      <c r="G13" t="s">
        <v>46</v>
      </c>
      <c r="H13" t="s">
        <v>38</v>
      </c>
      <c r="I13">
        <v>3</v>
      </c>
      <c r="J13">
        <v>34124.92</v>
      </c>
      <c r="K13">
        <v>0</v>
      </c>
      <c r="L13">
        <v>102374.76</v>
      </c>
      <c r="M13">
        <v>91905.72</v>
      </c>
      <c r="N13">
        <v>10469.040000000001</v>
      </c>
      <c r="O13">
        <f t="shared" si="0"/>
        <v>102374.76</v>
      </c>
      <c r="P13">
        <f t="shared" si="1"/>
        <v>0</v>
      </c>
      <c r="Q13">
        <f t="shared" si="2"/>
        <v>10.226192471660008</v>
      </c>
    </row>
    <row r="14" spans="1:17" x14ac:dyDescent="0.3">
      <c r="A14" t="s">
        <v>65</v>
      </c>
      <c r="B14" s="2">
        <v>46157</v>
      </c>
      <c r="C14" t="s">
        <v>66</v>
      </c>
      <c r="D14" t="s">
        <v>62</v>
      </c>
      <c r="E14" t="s">
        <v>24</v>
      </c>
      <c r="F14" t="s">
        <v>18</v>
      </c>
      <c r="G14" t="s">
        <v>19</v>
      </c>
      <c r="H14" t="s">
        <v>32</v>
      </c>
      <c r="I14">
        <v>1</v>
      </c>
      <c r="J14">
        <v>16438.46</v>
      </c>
      <c r="K14">
        <v>0</v>
      </c>
      <c r="L14">
        <v>16438.46</v>
      </c>
      <c r="M14">
        <v>13194.86</v>
      </c>
      <c r="N14">
        <v>3243.6</v>
      </c>
      <c r="O14">
        <f t="shared" si="0"/>
        <v>16438.46</v>
      </c>
      <c r="P14">
        <f t="shared" si="1"/>
        <v>0</v>
      </c>
      <c r="Q14">
        <f t="shared" si="2"/>
        <v>19.731775360952302</v>
      </c>
    </row>
    <row r="15" spans="1:17" x14ac:dyDescent="0.3">
      <c r="A15" t="s">
        <v>67</v>
      </c>
      <c r="B15" s="2">
        <v>46194</v>
      </c>
      <c r="C15" t="s">
        <v>68</v>
      </c>
      <c r="D15" t="s">
        <v>23</v>
      </c>
      <c r="E15" t="s">
        <v>24</v>
      </c>
      <c r="F15" t="s">
        <v>53</v>
      </c>
      <c r="G15" t="s">
        <v>46</v>
      </c>
      <c r="H15" t="s">
        <v>69</v>
      </c>
      <c r="I15">
        <v>1</v>
      </c>
      <c r="J15">
        <v>32067.53</v>
      </c>
      <c r="K15">
        <v>0</v>
      </c>
      <c r="L15">
        <v>32067.53</v>
      </c>
      <c r="M15">
        <v>25744.74</v>
      </c>
      <c r="N15">
        <v>6322.79</v>
      </c>
      <c r="O15">
        <f t="shared" si="0"/>
        <v>32067.53</v>
      </c>
      <c r="P15">
        <f t="shared" si="1"/>
        <v>0</v>
      </c>
      <c r="Q15">
        <f t="shared" si="2"/>
        <v>19.717109487384903</v>
      </c>
    </row>
    <row r="16" spans="1:17" x14ac:dyDescent="0.3">
      <c r="A16" t="s">
        <v>70</v>
      </c>
      <c r="B16" s="2">
        <v>46027</v>
      </c>
      <c r="C16" t="s">
        <v>71</v>
      </c>
      <c r="D16" t="s">
        <v>72</v>
      </c>
      <c r="E16" t="s">
        <v>29</v>
      </c>
      <c r="F16" t="s">
        <v>57</v>
      </c>
      <c r="G16" t="s">
        <v>19</v>
      </c>
      <c r="H16" t="s">
        <v>25</v>
      </c>
      <c r="I16">
        <v>7</v>
      </c>
      <c r="J16">
        <v>18106.439999999999</v>
      </c>
      <c r="K16">
        <v>0</v>
      </c>
      <c r="L16">
        <v>126745.08</v>
      </c>
      <c r="M16">
        <v>93122.2</v>
      </c>
      <c r="N16">
        <v>33622.879999999997</v>
      </c>
      <c r="O16">
        <f t="shared" si="0"/>
        <v>126745.07999999999</v>
      </c>
      <c r="P16">
        <f t="shared" si="1"/>
        <v>0</v>
      </c>
      <c r="Q16">
        <f t="shared" si="2"/>
        <v>26.527956745934432</v>
      </c>
    </row>
    <row r="17" spans="1:17" x14ac:dyDescent="0.3">
      <c r="A17" t="s">
        <v>73</v>
      </c>
      <c r="B17" s="2">
        <v>46201</v>
      </c>
      <c r="C17" t="s">
        <v>74</v>
      </c>
      <c r="D17" t="s">
        <v>35</v>
      </c>
      <c r="E17" t="s">
        <v>36</v>
      </c>
      <c r="F17" t="s">
        <v>57</v>
      </c>
      <c r="G17" t="s">
        <v>19</v>
      </c>
      <c r="H17" t="s">
        <v>32</v>
      </c>
      <c r="I17">
        <v>5</v>
      </c>
      <c r="J17">
        <v>13081.29</v>
      </c>
      <c r="K17">
        <v>0.05</v>
      </c>
      <c r="L17">
        <v>62136.13</v>
      </c>
      <c r="M17">
        <v>44184.51</v>
      </c>
      <c r="N17">
        <v>17951.62</v>
      </c>
      <c r="O17">
        <f t="shared" si="0"/>
        <v>65406.450000000004</v>
      </c>
      <c r="P17">
        <f t="shared" si="1"/>
        <v>3270.3225000000002</v>
      </c>
      <c r="Q17">
        <f t="shared" si="2"/>
        <v>28.890791879056515</v>
      </c>
    </row>
    <row r="18" spans="1:17" x14ac:dyDescent="0.3">
      <c r="A18" t="s">
        <v>75</v>
      </c>
      <c r="B18" s="2">
        <v>46051</v>
      </c>
      <c r="C18" t="s">
        <v>76</v>
      </c>
      <c r="D18" t="s">
        <v>16</v>
      </c>
      <c r="E18" t="s">
        <v>17</v>
      </c>
      <c r="F18" t="s">
        <v>57</v>
      </c>
      <c r="G18" t="s">
        <v>19</v>
      </c>
      <c r="H18" t="s">
        <v>69</v>
      </c>
      <c r="I18">
        <v>6</v>
      </c>
      <c r="J18">
        <v>9925.77</v>
      </c>
      <c r="K18">
        <v>0.1</v>
      </c>
      <c r="L18">
        <v>53599.16</v>
      </c>
      <c r="M18">
        <v>39935.53</v>
      </c>
      <c r="N18">
        <v>13663.63</v>
      </c>
      <c r="O18">
        <f t="shared" si="0"/>
        <v>59554.62</v>
      </c>
      <c r="P18">
        <f t="shared" si="1"/>
        <v>5955.4620000000004</v>
      </c>
      <c r="Q18">
        <f t="shared" si="2"/>
        <v>25.492246520281288</v>
      </c>
    </row>
    <row r="19" spans="1:17" x14ac:dyDescent="0.3">
      <c r="A19" t="s">
        <v>77</v>
      </c>
      <c r="B19" s="2">
        <v>46156</v>
      </c>
      <c r="C19" t="s">
        <v>78</v>
      </c>
      <c r="D19" t="s">
        <v>89</v>
      </c>
      <c r="E19" t="s">
        <v>29</v>
      </c>
      <c r="F19" t="s">
        <v>79</v>
      </c>
      <c r="G19" t="s">
        <v>31</v>
      </c>
      <c r="H19" t="s">
        <v>69</v>
      </c>
      <c r="I19">
        <v>3</v>
      </c>
      <c r="J19">
        <v>10839.64</v>
      </c>
      <c r="K19">
        <v>0</v>
      </c>
      <c r="L19">
        <v>32518.92</v>
      </c>
      <c r="M19">
        <v>28100.53</v>
      </c>
      <c r="N19">
        <v>4418.3900000000003</v>
      </c>
      <c r="O19">
        <f t="shared" si="0"/>
        <v>32518.92</v>
      </c>
      <c r="P19">
        <f t="shared" si="1"/>
        <v>0</v>
      </c>
      <c r="Q19">
        <f t="shared" si="2"/>
        <v>13.587136350161691</v>
      </c>
    </row>
    <row r="20" spans="1:17" x14ac:dyDescent="0.3">
      <c r="A20" t="s">
        <v>80</v>
      </c>
      <c r="B20" s="2">
        <v>46143</v>
      </c>
      <c r="C20" t="s">
        <v>34</v>
      </c>
      <c r="D20" t="s">
        <v>16</v>
      </c>
      <c r="E20" t="s">
        <v>17</v>
      </c>
      <c r="F20" t="s">
        <v>41</v>
      </c>
      <c r="G20" t="s">
        <v>42</v>
      </c>
      <c r="H20" t="s">
        <v>25</v>
      </c>
      <c r="I20">
        <v>6</v>
      </c>
      <c r="J20">
        <v>13314.75</v>
      </c>
      <c r="K20">
        <v>0.05</v>
      </c>
      <c r="L20">
        <v>75894.080000000002</v>
      </c>
      <c r="M20">
        <v>64503.19</v>
      </c>
      <c r="N20">
        <v>11390.89</v>
      </c>
      <c r="O20">
        <f t="shared" si="0"/>
        <v>79888.5</v>
      </c>
      <c r="P20">
        <f t="shared" si="1"/>
        <v>3994.4250000000002</v>
      </c>
      <c r="Q20">
        <f t="shared" si="2"/>
        <v>15.008930867862155</v>
      </c>
    </row>
    <row r="21" spans="1:17" x14ac:dyDescent="0.3">
      <c r="A21" t="s">
        <v>81</v>
      </c>
      <c r="B21" s="2">
        <v>46194</v>
      </c>
      <c r="C21" t="s">
        <v>82</v>
      </c>
      <c r="D21" t="s">
        <v>23</v>
      </c>
      <c r="E21" t="s">
        <v>24</v>
      </c>
      <c r="F21" t="s">
        <v>53</v>
      </c>
      <c r="G21" t="s">
        <v>46</v>
      </c>
      <c r="H21" t="s">
        <v>38</v>
      </c>
      <c r="I21">
        <v>1</v>
      </c>
      <c r="J21">
        <v>14687.87</v>
      </c>
      <c r="K21">
        <v>0</v>
      </c>
      <c r="L21">
        <v>14687.87</v>
      </c>
      <c r="M21">
        <v>13123.77</v>
      </c>
      <c r="N21">
        <v>1564.1</v>
      </c>
      <c r="O21">
        <f t="shared" si="0"/>
        <v>14687.87</v>
      </c>
      <c r="P21">
        <f t="shared" si="1"/>
        <v>0</v>
      </c>
      <c r="Q21">
        <f t="shared" si="2"/>
        <v>10.648923227125511</v>
      </c>
    </row>
    <row r="22" spans="1:17" x14ac:dyDescent="0.3">
      <c r="A22" t="s">
        <v>83</v>
      </c>
      <c r="B22" s="2">
        <v>46135</v>
      </c>
      <c r="C22" t="s">
        <v>84</v>
      </c>
      <c r="D22" t="s">
        <v>85</v>
      </c>
      <c r="E22" t="s">
        <v>17</v>
      </c>
      <c r="F22" t="s">
        <v>86</v>
      </c>
      <c r="G22" t="s">
        <v>46</v>
      </c>
      <c r="H22" t="s">
        <v>54</v>
      </c>
      <c r="I22">
        <v>3</v>
      </c>
      <c r="J22">
        <v>84909.62</v>
      </c>
      <c r="K22">
        <v>0.05</v>
      </c>
      <c r="L22">
        <v>241992.42</v>
      </c>
      <c r="M22">
        <v>210468.58</v>
      </c>
      <c r="N22">
        <v>31523.84</v>
      </c>
      <c r="O22">
        <f t="shared" si="0"/>
        <v>254728.86</v>
      </c>
      <c r="P22">
        <f t="shared" si="1"/>
        <v>12736.442999999999</v>
      </c>
      <c r="Q22">
        <f t="shared" si="2"/>
        <v>13.026788194440138</v>
      </c>
    </row>
    <row r="23" spans="1:17" x14ac:dyDescent="0.3">
      <c r="A23" t="s">
        <v>87</v>
      </c>
      <c r="B23" s="2">
        <v>46246</v>
      </c>
      <c r="C23" t="s">
        <v>88</v>
      </c>
      <c r="D23" t="s">
        <v>89</v>
      </c>
      <c r="E23" t="s">
        <v>90</v>
      </c>
      <c r="F23" t="s">
        <v>86</v>
      </c>
      <c r="G23" t="s">
        <v>46</v>
      </c>
      <c r="H23" t="s">
        <v>54</v>
      </c>
      <c r="I23">
        <v>2</v>
      </c>
      <c r="J23">
        <v>54582.48</v>
      </c>
      <c r="K23">
        <v>0.05</v>
      </c>
      <c r="L23">
        <v>103706.71</v>
      </c>
      <c r="M23">
        <v>90766.36</v>
      </c>
      <c r="N23">
        <v>12940.35</v>
      </c>
      <c r="O23">
        <f t="shared" si="0"/>
        <v>109164.96</v>
      </c>
      <c r="P23">
        <f t="shared" si="1"/>
        <v>5458.2480000000005</v>
      </c>
      <c r="Q23">
        <f t="shared" si="2"/>
        <v>12.477832919393547</v>
      </c>
    </row>
    <row r="24" spans="1:17" x14ac:dyDescent="0.3">
      <c r="A24" t="s">
        <v>91</v>
      </c>
      <c r="B24" s="2">
        <v>46225</v>
      </c>
      <c r="C24" t="s">
        <v>61</v>
      </c>
      <c r="D24" t="s">
        <v>23</v>
      </c>
      <c r="E24" t="s">
        <v>24</v>
      </c>
      <c r="F24" t="s">
        <v>86</v>
      </c>
      <c r="G24" t="s">
        <v>46</v>
      </c>
      <c r="H24" t="s">
        <v>54</v>
      </c>
      <c r="I24">
        <v>5</v>
      </c>
      <c r="J24">
        <v>74128.649999999994</v>
      </c>
      <c r="K24">
        <v>0.05</v>
      </c>
      <c r="L24">
        <v>352111.09</v>
      </c>
      <c r="M24">
        <v>301634.92</v>
      </c>
      <c r="N24">
        <v>50476.17</v>
      </c>
      <c r="O24">
        <f t="shared" si="0"/>
        <v>370643.25</v>
      </c>
      <c r="P24">
        <f t="shared" si="1"/>
        <v>18532.162500000002</v>
      </c>
      <c r="Q24">
        <f t="shared" si="2"/>
        <v>14.335296851911139</v>
      </c>
    </row>
    <row r="25" spans="1:17" x14ac:dyDescent="0.3">
      <c r="A25" t="s">
        <v>92</v>
      </c>
      <c r="B25" s="2">
        <v>46262</v>
      </c>
      <c r="C25" t="s">
        <v>93</v>
      </c>
      <c r="D25" t="s">
        <v>89</v>
      </c>
      <c r="E25" t="s">
        <v>90</v>
      </c>
      <c r="F25" t="s">
        <v>41</v>
      </c>
      <c r="G25" t="s">
        <v>42</v>
      </c>
      <c r="H25" t="s">
        <v>25</v>
      </c>
      <c r="I25">
        <v>6</v>
      </c>
      <c r="J25">
        <v>13698.72</v>
      </c>
      <c r="K25">
        <v>0.05</v>
      </c>
      <c r="L25">
        <v>78082.7</v>
      </c>
      <c r="M25">
        <v>62231.67</v>
      </c>
      <c r="N25">
        <v>15851.03</v>
      </c>
      <c r="O25">
        <f t="shared" si="0"/>
        <v>82192.319999999992</v>
      </c>
      <c r="P25">
        <f t="shared" si="1"/>
        <v>4109.616</v>
      </c>
      <c r="Q25">
        <f t="shared" si="2"/>
        <v>20.300309799737974</v>
      </c>
    </row>
    <row r="26" spans="1:17" x14ac:dyDescent="0.3">
      <c r="A26" t="s">
        <v>94</v>
      </c>
      <c r="B26" s="2">
        <v>46169</v>
      </c>
      <c r="C26" t="s">
        <v>95</v>
      </c>
      <c r="D26" t="s">
        <v>16</v>
      </c>
      <c r="E26" t="s">
        <v>17</v>
      </c>
      <c r="F26" t="s">
        <v>57</v>
      </c>
      <c r="G26" t="s">
        <v>19</v>
      </c>
      <c r="H26" t="s">
        <v>69</v>
      </c>
      <c r="I26">
        <v>1</v>
      </c>
      <c r="J26">
        <v>7964.23</v>
      </c>
      <c r="K26">
        <v>0</v>
      </c>
      <c r="L26">
        <v>7964.23</v>
      </c>
      <c r="M26">
        <v>6035.85</v>
      </c>
      <c r="N26">
        <v>1928.38</v>
      </c>
      <c r="O26">
        <f t="shared" si="0"/>
        <v>7964.23</v>
      </c>
      <c r="P26">
        <f t="shared" si="1"/>
        <v>0</v>
      </c>
      <c r="Q26">
        <f t="shared" si="2"/>
        <v>24.21301243183585</v>
      </c>
    </row>
    <row r="27" spans="1:17" x14ac:dyDescent="0.3">
      <c r="A27" t="s">
        <v>96</v>
      </c>
      <c r="B27" s="2">
        <v>46289</v>
      </c>
      <c r="C27" t="s">
        <v>97</v>
      </c>
      <c r="D27" t="s">
        <v>28</v>
      </c>
      <c r="E27" t="s">
        <v>29</v>
      </c>
      <c r="F27" t="s">
        <v>41</v>
      </c>
      <c r="G27" t="s">
        <v>42</v>
      </c>
      <c r="H27" t="s">
        <v>38</v>
      </c>
      <c r="I27">
        <v>7</v>
      </c>
      <c r="J27">
        <v>8723.36</v>
      </c>
      <c r="K27">
        <v>0.05</v>
      </c>
      <c r="L27">
        <v>58010.34</v>
      </c>
      <c r="M27">
        <v>47365.78</v>
      </c>
      <c r="N27">
        <v>10644.56</v>
      </c>
      <c r="O27">
        <f t="shared" si="0"/>
        <v>61063.520000000004</v>
      </c>
      <c r="P27">
        <f t="shared" si="1"/>
        <v>3053.1760000000004</v>
      </c>
      <c r="Q27">
        <f t="shared" si="2"/>
        <v>18.349418396789265</v>
      </c>
    </row>
    <row r="28" spans="1:17" x14ac:dyDescent="0.3">
      <c r="A28" t="s">
        <v>98</v>
      </c>
      <c r="B28" s="2">
        <v>46166</v>
      </c>
      <c r="C28" t="s">
        <v>99</v>
      </c>
      <c r="D28" t="s">
        <v>72</v>
      </c>
      <c r="E28" t="s">
        <v>29</v>
      </c>
      <c r="F28" t="s">
        <v>41</v>
      </c>
      <c r="G28" t="s">
        <v>42</v>
      </c>
      <c r="H28" t="s">
        <v>20</v>
      </c>
      <c r="I28">
        <v>1</v>
      </c>
      <c r="J28">
        <v>18399.259999999998</v>
      </c>
      <c r="K28">
        <v>0</v>
      </c>
      <c r="L28">
        <v>18399.259999999998</v>
      </c>
      <c r="M28">
        <v>16353.77</v>
      </c>
      <c r="N28">
        <v>2045.49</v>
      </c>
      <c r="O28">
        <f t="shared" si="0"/>
        <v>18399.259999999998</v>
      </c>
      <c r="P28">
        <f t="shared" si="1"/>
        <v>0</v>
      </c>
      <c r="Q28">
        <f t="shared" si="2"/>
        <v>11.117240584675688</v>
      </c>
    </row>
    <row r="29" spans="1:17" x14ac:dyDescent="0.3">
      <c r="A29" t="s">
        <v>100</v>
      </c>
      <c r="B29" s="2">
        <v>46059</v>
      </c>
      <c r="C29" t="s">
        <v>101</v>
      </c>
      <c r="D29" t="s">
        <v>102</v>
      </c>
      <c r="E29" t="s">
        <v>29</v>
      </c>
      <c r="F29" t="s">
        <v>57</v>
      </c>
      <c r="G29" t="s">
        <v>19</v>
      </c>
      <c r="H29" t="s">
        <v>103</v>
      </c>
      <c r="I29">
        <v>3</v>
      </c>
      <c r="J29">
        <v>10763.51</v>
      </c>
      <c r="K29">
        <v>0.05</v>
      </c>
      <c r="L29">
        <v>30676</v>
      </c>
      <c r="M29">
        <v>22037.66</v>
      </c>
      <c r="N29">
        <v>8638.34</v>
      </c>
      <c r="O29">
        <f t="shared" si="0"/>
        <v>32290.53</v>
      </c>
      <c r="P29">
        <f t="shared" si="1"/>
        <v>1614.5264999999999</v>
      </c>
      <c r="Q29">
        <f t="shared" si="2"/>
        <v>28.159929586647543</v>
      </c>
    </row>
    <row r="30" spans="1:17" x14ac:dyDescent="0.3">
      <c r="A30" t="s">
        <v>104</v>
      </c>
      <c r="B30" s="2">
        <v>46076</v>
      </c>
      <c r="C30" t="s">
        <v>95</v>
      </c>
      <c r="D30" t="s">
        <v>23</v>
      </c>
      <c r="E30" t="s">
        <v>24</v>
      </c>
      <c r="F30" t="s">
        <v>86</v>
      </c>
      <c r="G30" t="s">
        <v>46</v>
      </c>
      <c r="H30" t="s">
        <v>38</v>
      </c>
      <c r="I30">
        <v>3</v>
      </c>
      <c r="J30">
        <v>70681.27</v>
      </c>
      <c r="K30">
        <v>0.1</v>
      </c>
      <c r="L30">
        <v>190839.43</v>
      </c>
      <c r="M30">
        <v>160584.88</v>
      </c>
      <c r="N30">
        <v>30254.55</v>
      </c>
      <c r="O30">
        <f t="shared" si="0"/>
        <v>212043.81</v>
      </c>
      <c r="P30">
        <f t="shared" si="1"/>
        <v>21204.381000000001</v>
      </c>
      <c r="Q30">
        <f t="shared" si="2"/>
        <v>15.853406185503699</v>
      </c>
    </row>
    <row r="31" spans="1:17" x14ac:dyDescent="0.3">
      <c r="A31" t="s">
        <v>105</v>
      </c>
      <c r="B31" s="2">
        <v>46276</v>
      </c>
      <c r="C31" t="s">
        <v>84</v>
      </c>
      <c r="D31" t="s">
        <v>106</v>
      </c>
      <c r="E31" t="s">
        <v>90</v>
      </c>
      <c r="F31" t="s">
        <v>41</v>
      </c>
      <c r="G31" t="s">
        <v>42</v>
      </c>
      <c r="H31" t="s">
        <v>32</v>
      </c>
      <c r="I31">
        <v>5</v>
      </c>
      <c r="J31">
        <v>21924.04</v>
      </c>
      <c r="K31">
        <v>0</v>
      </c>
      <c r="L31">
        <v>109620.2</v>
      </c>
      <c r="M31">
        <v>94641.29</v>
      </c>
      <c r="N31">
        <v>14978.91</v>
      </c>
      <c r="O31">
        <f t="shared" si="0"/>
        <v>109620.20000000001</v>
      </c>
      <c r="P31">
        <f t="shared" si="1"/>
        <v>0</v>
      </c>
      <c r="Q31">
        <f t="shared" si="2"/>
        <v>13.664370252927839</v>
      </c>
    </row>
    <row r="32" spans="1:17" x14ac:dyDescent="0.3">
      <c r="A32" t="s">
        <v>107</v>
      </c>
      <c r="B32" s="2">
        <v>46230</v>
      </c>
      <c r="C32" t="s">
        <v>101</v>
      </c>
      <c r="D32" t="s">
        <v>108</v>
      </c>
      <c r="E32" t="s">
        <v>36</v>
      </c>
      <c r="F32" t="s">
        <v>41</v>
      </c>
      <c r="G32" t="s">
        <v>42</v>
      </c>
      <c r="H32" t="s">
        <v>103</v>
      </c>
      <c r="I32">
        <v>4</v>
      </c>
      <c r="J32">
        <v>10222.209999999999</v>
      </c>
      <c r="K32">
        <v>0</v>
      </c>
      <c r="L32">
        <v>40888.839999999997</v>
      </c>
      <c r="M32">
        <v>35203.33</v>
      </c>
      <c r="N32">
        <v>5685.51</v>
      </c>
      <c r="O32">
        <f t="shared" si="0"/>
        <v>40888.839999999997</v>
      </c>
      <c r="P32">
        <f t="shared" si="1"/>
        <v>0</v>
      </c>
      <c r="Q32">
        <f t="shared" si="2"/>
        <v>13.904796516604531</v>
      </c>
    </row>
    <row r="33" spans="1:17" x14ac:dyDescent="0.3">
      <c r="A33" t="s">
        <v>109</v>
      </c>
      <c r="B33" s="2">
        <v>46157</v>
      </c>
      <c r="C33" t="s">
        <v>110</v>
      </c>
      <c r="D33" t="s">
        <v>106</v>
      </c>
      <c r="E33" t="s">
        <v>90</v>
      </c>
      <c r="F33" t="s">
        <v>86</v>
      </c>
      <c r="G33" t="s">
        <v>46</v>
      </c>
      <c r="H33" t="s">
        <v>50</v>
      </c>
      <c r="I33">
        <v>4</v>
      </c>
      <c r="J33">
        <v>57322.43</v>
      </c>
      <c r="K33">
        <v>0.05</v>
      </c>
      <c r="L33">
        <v>217825.23</v>
      </c>
      <c r="M33">
        <v>186538.28</v>
      </c>
      <c r="N33">
        <v>31286.95</v>
      </c>
      <c r="O33">
        <f t="shared" si="0"/>
        <v>229289.72</v>
      </c>
      <c r="P33">
        <f t="shared" si="1"/>
        <v>11464.486000000001</v>
      </c>
      <c r="Q33">
        <f t="shared" si="2"/>
        <v>14.363326966302296</v>
      </c>
    </row>
    <row r="34" spans="1:17" x14ac:dyDescent="0.3">
      <c r="A34" t="s">
        <v>111</v>
      </c>
      <c r="B34" s="2">
        <v>46180</v>
      </c>
      <c r="C34" t="s">
        <v>112</v>
      </c>
      <c r="D34" t="s">
        <v>113</v>
      </c>
      <c r="E34" t="s">
        <v>17</v>
      </c>
      <c r="F34" t="s">
        <v>53</v>
      </c>
      <c r="G34" t="s">
        <v>46</v>
      </c>
      <c r="H34" t="s">
        <v>50</v>
      </c>
      <c r="I34">
        <v>6</v>
      </c>
      <c r="J34">
        <v>19220.54</v>
      </c>
      <c r="K34">
        <v>0.1</v>
      </c>
      <c r="L34">
        <v>103790.92</v>
      </c>
      <c r="M34">
        <v>88903.21</v>
      </c>
      <c r="N34">
        <v>14887.71</v>
      </c>
      <c r="O34">
        <f t="shared" si="0"/>
        <v>115323.24</v>
      </c>
      <c r="P34">
        <f t="shared" si="1"/>
        <v>11532.324000000001</v>
      </c>
      <c r="Q34">
        <f t="shared" si="2"/>
        <v>14.34394261077944</v>
      </c>
    </row>
    <row r="35" spans="1:17" x14ac:dyDescent="0.3">
      <c r="A35" t="s">
        <v>114</v>
      </c>
      <c r="B35" s="2">
        <v>46119</v>
      </c>
      <c r="C35" t="s">
        <v>27</v>
      </c>
      <c r="D35" t="s">
        <v>28</v>
      </c>
      <c r="E35" t="s">
        <v>29</v>
      </c>
      <c r="F35" t="s">
        <v>86</v>
      </c>
      <c r="G35" t="s">
        <v>46</v>
      </c>
      <c r="H35" t="s">
        <v>103</v>
      </c>
      <c r="I35">
        <v>5</v>
      </c>
      <c r="J35">
        <v>52809.72</v>
      </c>
      <c r="K35">
        <v>0.05</v>
      </c>
      <c r="L35">
        <v>250846.17</v>
      </c>
      <c r="M35">
        <v>216429.97</v>
      </c>
      <c r="N35">
        <v>34416.199999999997</v>
      </c>
      <c r="O35">
        <f t="shared" si="0"/>
        <v>264048.59999999998</v>
      </c>
      <c r="P35">
        <f t="shared" si="1"/>
        <v>13202.43</v>
      </c>
      <c r="Q35">
        <f t="shared" si="2"/>
        <v>13.7200420480807</v>
      </c>
    </row>
    <row r="36" spans="1:17" x14ac:dyDescent="0.3">
      <c r="A36" t="s">
        <v>115</v>
      </c>
      <c r="B36" s="2">
        <v>46039</v>
      </c>
      <c r="C36" t="s">
        <v>116</v>
      </c>
      <c r="D36" t="s">
        <v>28</v>
      </c>
      <c r="E36" t="s">
        <v>29</v>
      </c>
      <c r="F36" t="s">
        <v>30</v>
      </c>
      <c r="G36" t="s">
        <v>31</v>
      </c>
      <c r="H36" t="s">
        <v>20</v>
      </c>
      <c r="I36">
        <v>4</v>
      </c>
      <c r="J36">
        <v>4510.67</v>
      </c>
      <c r="K36">
        <v>0</v>
      </c>
      <c r="L36">
        <v>18042.68</v>
      </c>
      <c r="M36">
        <v>13158.86</v>
      </c>
      <c r="N36">
        <v>4883.82</v>
      </c>
      <c r="O36">
        <f t="shared" si="0"/>
        <v>18042.68</v>
      </c>
      <c r="P36">
        <f t="shared" si="1"/>
        <v>0</v>
      </c>
      <c r="Q36">
        <f t="shared" si="2"/>
        <v>27.068151737990142</v>
      </c>
    </row>
    <row r="37" spans="1:17" x14ac:dyDescent="0.3">
      <c r="A37" t="s">
        <v>117</v>
      </c>
      <c r="B37" s="2">
        <v>46117</v>
      </c>
      <c r="C37" t="s">
        <v>118</v>
      </c>
      <c r="D37" t="s">
        <v>106</v>
      </c>
      <c r="E37" t="s">
        <v>90</v>
      </c>
      <c r="F37" t="s">
        <v>86</v>
      </c>
      <c r="G37" t="s">
        <v>46</v>
      </c>
      <c r="H37" t="s">
        <v>103</v>
      </c>
      <c r="I37">
        <v>5</v>
      </c>
      <c r="J37">
        <v>48013.85</v>
      </c>
      <c r="K37">
        <v>0</v>
      </c>
      <c r="L37">
        <v>240069.25</v>
      </c>
      <c r="M37">
        <v>200430.54</v>
      </c>
      <c r="N37">
        <v>39638.71</v>
      </c>
      <c r="O37">
        <f t="shared" si="0"/>
        <v>240069.25</v>
      </c>
      <c r="P37">
        <f t="shared" si="1"/>
        <v>0</v>
      </c>
      <c r="Q37">
        <f t="shared" si="2"/>
        <v>16.511364949905079</v>
      </c>
    </row>
    <row r="38" spans="1:17" x14ac:dyDescent="0.3">
      <c r="A38" t="s">
        <v>119</v>
      </c>
      <c r="B38" s="2">
        <v>46040</v>
      </c>
      <c r="C38" t="s">
        <v>120</v>
      </c>
      <c r="D38" t="s">
        <v>62</v>
      </c>
      <c r="E38" t="s">
        <v>24</v>
      </c>
      <c r="F38" t="s">
        <v>37</v>
      </c>
      <c r="G38" t="s">
        <v>31</v>
      </c>
      <c r="H38" t="s">
        <v>103</v>
      </c>
      <c r="I38">
        <v>2</v>
      </c>
      <c r="J38">
        <v>9457.32</v>
      </c>
      <c r="K38">
        <v>0.1</v>
      </c>
      <c r="L38">
        <v>17023.18</v>
      </c>
      <c r="M38">
        <v>14496.09</v>
      </c>
      <c r="N38">
        <v>2527.09</v>
      </c>
      <c r="O38">
        <f t="shared" si="0"/>
        <v>18914.64</v>
      </c>
      <c r="P38">
        <f t="shared" si="1"/>
        <v>1891.4639999999999</v>
      </c>
      <c r="Q38">
        <f t="shared" si="2"/>
        <v>14.844993708578539</v>
      </c>
    </row>
    <row r="39" spans="1:17" x14ac:dyDescent="0.3">
      <c r="A39" t="s">
        <v>121</v>
      </c>
      <c r="B39" s="2">
        <v>46173</v>
      </c>
      <c r="C39" t="s">
        <v>122</v>
      </c>
      <c r="D39" t="s">
        <v>123</v>
      </c>
      <c r="E39" t="s">
        <v>90</v>
      </c>
      <c r="F39" t="s">
        <v>37</v>
      </c>
      <c r="G39" t="s">
        <v>31</v>
      </c>
      <c r="H39" t="s">
        <v>20</v>
      </c>
      <c r="I39">
        <v>1</v>
      </c>
      <c r="J39">
        <v>8957.67</v>
      </c>
      <c r="K39">
        <v>0.1</v>
      </c>
      <c r="L39">
        <v>8061.9</v>
      </c>
      <c r="M39">
        <v>6801.06</v>
      </c>
      <c r="N39">
        <v>1260.8399999999999</v>
      </c>
      <c r="O39">
        <f t="shared" si="0"/>
        <v>8957.67</v>
      </c>
      <c r="P39">
        <f t="shared" si="1"/>
        <v>895.76700000000005</v>
      </c>
      <c r="Q39">
        <f t="shared" si="2"/>
        <v>15.639489450377702</v>
      </c>
    </row>
    <row r="40" spans="1:17" x14ac:dyDescent="0.3">
      <c r="A40" t="s">
        <v>124</v>
      </c>
      <c r="B40" s="2">
        <v>46192</v>
      </c>
      <c r="C40" t="s">
        <v>125</v>
      </c>
      <c r="D40" t="s">
        <v>126</v>
      </c>
      <c r="E40" t="s">
        <v>24</v>
      </c>
      <c r="F40" t="s">
        <v>37</v>
      </c>
      <c r="G40" t="s">
        <v>31</v>
      </c>
      <c r="H40" t="s">
        <v>69</v>
      </c>
      <c r="I40">
        <v>1</v>
      </c>
      <c r="J40">
        <v>8385.9599999999991</v>
      </c>
      <c r="K40">
        <v>0.05</v>
      </c>
      <c r="L40">
        <v>7966.66</v>
      </c>
      <c r="M40">
        <v>6773.32</v>
      </c>
      <c r="N40">
        <v>1193.3399999999999</v>
      </c>
      <c r="O40">
        <f t="shared" si="0"/>
        <v>8385.9599999999991</v>
      </c>
      <c r="P40">
        <f t="shared" si="1"/>
        <v>419.298</v>
      </c>
      <c r="Q40">
        <f t="shared" si="2"/>
        <v>14.979175714791392</v>
      </c>
    </row>
    <row r="41" spans="1:17" x14ac:dyDescent="0.3">
      <c r="A41" t="s">
        <v>127</v>
      </c>
      <c r="B41" s="2">
        <v>46058</v>
      </c>
      <c r="C41" t="s">
        <v>74</v>
      </c>
      <c r="D41" t="s">
        <v>108</v>
      </c>
      <c r="E41" t="s">
        <v>36</v>
      </c>
      <c r="F41" t="s">
        <v>79</v>
      </c>
      <c r="G41" t="s">
        <v>31</v>
      </c>
      <c r="H41" t="s">
        <v>38</v>
      </c>
      <c r="I41">
        <v>6</v>
      </c>
      <c r="J41">
        <v>8219.61</v>
      </c>
      <c r="K41">
        <v>0.1</v>
      </c>
      <c r="L41">
        <v>44385.89</v>
      </c>
      <c r="M41">
        <v>33924.1</v>
      </c>
      <c r="N41">
        <v>10461.790000000001</v>
      </c>
      <c r="O41">
        <f t="shared" si="0"/>
        <v>49317.66</v>
      </c>
      <c r="P41">
        <f t="shared" si="1"/>
        <v>4931.7660000000005</v>
      </c>
      <c r="Q41">
        <f t="shared" si="2"/>
        <v>23.570080491795931</v>
      </c>
    </row>
    <row r="42" spans="1:17" x14ac:dyDescent="0.3">
      <c r="A42" t="s">
        <v>128</v>
      </c>
      <c r="B42" s="2">
        <v>46237</v>
      </c>
      <c r="C42" t="s">
        <v>129</v>
      </c>
      <c r="D42" t="s">
        <v>35</v>
      </c>
      <c r="E42" t="s">
        <v>36</v>
      </c>
      <c r="F42" t="s">
        <v>53</v>
      </c>
      <c r="G42" t="s">
        <v>46</v>
      </c>
      <c r="H42" t="s">
        <v>25</v>
      </c>
      <c r="I42">
        <v>2</v>
      </c>
      <c r="J42">
        <v>17531.97</v>
      </c>
      <c r="K42">
        <v>0.05</v>
      </c>
      <c r="L42">
        <v>33310.74</v>
      </c>
      <c r="M42">
        <v>29025.18</v>
      </c>
      <c r="N42">
        <v>4285.5600000000004</v>
      </c>
      <c r="O42">
        <f t="shared" si="0"/>
        <v>35063.94</v>
      </c>
      <c r="P42">
        <f t="shared" si="1"/>
        <v>1753.1970000000001</v>
      </c>
      <c r="Q42">
        <f t="shared" si="2"/>
        <v>12.865400168234032</v>
      </c>
    </row>
    <row r="43" spans="1:17" x14ac:dyDescent="0.3">
      <c r="A43" t="s">
        <v>130</v>
      </c>
      <c r="B43" s="2">
        <v>46202</v>
      </c>
      <c r="C43" t="s">
        <v>131</v>
      </c>
      <c r="D43" t="s">
        <v>72</v>
      </c>
      <c r="E43" t="s">
        <v>29</v>
      </c>
      <c r="F43" t="s">
        <v>53</v>
      </c>
      <c r="G43" t="s">
        <v>46</v>
      </c>
      <c r="H43" t="s">
        <v>38</v>
      </c>
      <c r="I43">
        <v>3</v>
      </c>
      <c r="J43">
        <v>16884.900000000001</v>
      </c>
      <c r="K43">
        <v>0</v>
      </c>
      <c r="L43">
        <v>50654.7</v>
      </c>
      <c r="M43">
        <v>42943.82</v>
      </c>
      <c r="N43">
        <v>7710.88</v>
      </c>
      <c r="O43">
        <f t="shared" si="0"/>
        <v>50654.700000000004</v>
      </c>
      <c r="P43">
        <f t="shared" si="1"/>
        <v>0</v>
      </c>
      <c r="Q43">
        <f t="shared" si="2"/>
        <v>15.222437404623857</v>
      </c>
    </row>
    <row r="44" spans="1:17" x14ac:dyDescent="0.3">
      <c r="A44" t="s">
        <v>132</v>
      </c>
      <c r="B44" s="2">
        <v>46130</v>
      </c>
      <c r="C44" t="s">
        <v>133</v>
      </c>
      <c r="D44" t="s">
        <v>85</v>
      </c>
      <c r="E44" t="s">
        <v>17</v>
      </c>
      <c r="F44" t="s">
        <v>57</v>
      </c>
      <c r="G44" t="s">
        <v>19</v>
      </c>
      <c r="H44" t="s">
        <v>54</v>
      </c>
      <c r="I44">
        <v>5</v>
      </c>
      <c r="J44">
        <v>6450.91</v>
      </c>
      <c r="K44">
        <v>0</v>
      </c>
      <c r="L44">
        <v>32254.55</v>
      </c>
      <c r="M44">
        <v>24856.57</v>
      </c>
      <c r="N44">
        <v>7397.98</v>
      </c>
      <c r="O44">
        <f t="shared" si="0"/>
        <v>32254.55</v>
      </c>
      <c r="P44">
        <f t="shared" si="1"/>
        <v>0</v>
      </c>
      <c r="Q44">
        <f t="shared" si="2"/>
        <v>22.936236903010581</v>
      </c>
    </row>
    <row r="45" spans="1:17" x14ac:dyDescent="0.3">
      <c r="A45" t="s">
        <v>134</v>
      </c>
      <c r="B45" s="2">
        <v>46166</v>
      </c>
      <c r="C45" t="s">
        <v>135</v>
      </c>
      <c r="D45" t="s">
        <v>108</v>
      </c>
      <c r="E45" t="s">
        <v>36</v>
      </c>
      <c r="F45" t="s">
        <v>45</v>
      </c>
      <c r="G45" t="s">
        <v>46</v>
      </c>
      <c r="H45" t="s">
        <v>38</v>
      </c>
      <c r="I45">
        <v>6</v>
      </c>
      <c r="J45">
        <v>40815.019999999997</v>
      </c>
      <c r="K45">
        <v>0</v>
      </c>
      <c r="L45">
        <v>244890.12</v>
      </c>
      <c r="M45">
        <v>221406.66</v>
      </c>
      <c r="N45">
        <v>23483.46</v>
      </c>
      <c r="O45">
        <f t="shared" si="0"/>
        <v>244890.12</v>
      </c>
      <c r="P45">
        <f t="shared" si="1"/>
        <v>0</v>
      </c>
      <c r="Q45">
        <f t="shared" si="2"/>
        <v>9.5893864562604652</v>
      </c>
    </row>
    <row r="46" spans="1:17" x14ac:dyDescent="0.3">
      <c r="A46" t="s">
        <v>136</v>
      </c>
      <c r="B46" s="2">
        <v>46080</v>
      </c>
      <c r="C46" t="s">
        <v>99</v>
      </c>
      <c r="D46" t="s">
        <v>126</v>
      </c>
      <c r="E46" t="s">
        <v>24</v>
      </c>
      <c r="F46" t="s">
        <v>37</v>
      </c>
      <c r="G46" t="s">
        <v>31</v>
      </c>
      <c r="H46" t="s">
        <v>20</v>
      </c>
      <c r="I46">
        <v>5</v>
      </c>
      <c r="J46">
        <v>1715.48</v>
      </c>
      <c r="K46">
        <v>0</v>
      </c>
      <c r="L46">
        <v>8577.4</v>
      </c>
      <c r="M46">
        <v>6935.71</v>
      </c>
      <c r="N46">
        <v>1641.69</v>
      </c>
      <c r="O46">
        <f t="shared" si="0"/>
        <v>8577.4</v>
      </c>
      <c r="P46">
        <f t="shared" si="1"/>
        <v>0</v>
      </c>
      <c r="Q46">
        <f t="shared" si="2"/>
        <v>19.139715997854829</v>
      </c>
    </row>
    <row r="47" spans="1:17" x14ac:dyDescent="0.3">
      <c r="A47" t="s">
        <v>137</v>
      </c>
      <c r="B47" s="2">
        <v>46151</v>
      </c>
      <c r="C47" t="s">
        <v>138</v>
      </c>
      <c r="D47" t="s">
        <v>72</v>
      </c>
      <c r="E47" t="s">
        <v>29</v>
      </c>
      <c r="F47" t="s">
        <v>37</v>
      </c>
      <c r="G47" t="s">
        <v>31</v>
      </c>
      <c r="H47" t="s">
        <v>103</v>
      </c>
      <c r="I47">
        <v>2</v>
      </c>
      <c r="J47">
        <v>2829.71</v>
      </c>
      <c r="K47">
        <v>0</v>
      </c>
      <c r="L47">
        <v>5659.42</v>
      </c>
      <c r="M47">
        <v>4803.3500000000004</v>
      </c>
      <c r="N47">
        <v>856.07</v>
      </c>
      <c r="O47">
        <f t="shared" si="0"/>
        <v>5659.42</v>
      </c>
      <c r="P47">
        <f t="shared" si="1"/>
        <v>0</v>
      </c>
      <c r="Q47">
        <f t="shared" si="2"/>
        <v>15.126461722225953</v>
      </c>
    </row>
    <row r="48" spans="1:17" x14ac:dyDescent="0.3">
      <c r="A48" t="s">
        <v>139</v>
      </c>
      <c r="B48" s="2">
        <v>46259</v>
      </c>
      <c r="C48" t="s">
        <v>140</v>
      </c>
      <c r="D48" t="s">
        <v>85</v>
      </c>
      <c r="E48" t="s">
        <v>17</v>
      </c>
      <c r="F48" t="s">
        <v>86</v>
      </c>
      <c r="G48" t="s">
        <v>46</v>
      </c>
      <c r="H48" t="s">
        <v>54</v>
      </c>
      <c r="I48">
        <v>7</v>
      </c>
      <c r="J48">
        <v>83194.61</v>
      </c>
      <c r="K48">
        <v>0.05</v>
      </c>
      <c r="L48">
        <v>553244.16000000003</v>
      </c>
      <c r="M48">
        <v>484881.28</v>
      </c>
      <c r="N48">
        <v>68362.880000000005</v>
      </c>
      <c r="O48">
        <f t="shared" si="0"/>
        <v>582362.27</v>
      </c>
      <c r="P48">
        <f t="shared" si="1"/>
        <v>29118.113500000003</v>
      </c>
      <c r="Q48">
        <f t="shared" si="2"/>
        <v>12.356728718112452</v>
      </c>
    </row>
    <row r="49" spans="1:17" x14ac:dyDescent="0.3">
      <c r="A49" t="s">
        <v>141</v>
      </c>
      <c r="B49" s="2">
        <v>46098</v>
      </c>
      <c r="C49" t="s">
        <v>142</v>
      </c>
      <c r="D49" t="s">
        <v>72</v>
      </c>
      <c r="E49" t="s">
        <v>29</v>
      </c>
      <c r="F49" t="s">
        <v>49</v>
      </c>
      <c r="G49" t="s">
        <v>46</v>
      </c>
      <c r="H49" t="s">
        <v>69</v>
      </c>
      <c r="I49">
        <v>1</v>
      </c>
      <c r="J49">
        <v>33219.69</v>
      </c>
      <c r="K49">
        <v>0</v>
      </c>
      <c r="L49">
        <v>33219.69</v>
      </c>
      <c r="M49">
        <v>30619.85</v>
      </c>
      <c r="N49">
        <v>2599.84</v>
      </c>
      <c r="O49">
        <f t="shared" si="0"/>
        <v>33219.69</v>
      </c>
      <c r="P49">
        <f t="shared" si="1"/>
        <v>0</v>
      </c>
      <c r="Q49">
        <f t="shared" si="2"/>
        <v>7.8262018700355123</v>
      </c>
    </row>
    <row r="50" spans="1:17" x14ac:dyDescent="0.3">
      <c r="A50" t="s">
        <v>143</v>
      </c>
      <c r="B50" s="2">
        <v>46116</v>
      </c>
      <c r="C50" t="s">
        <v>144</v>
      </c>
      <c r="D50" t="s">
        <v>145</v>
      </c>
      <c r="E50" t="s">
        <v>36</v>
      </c>
      <c r="F50" t="s">
        <v>79</v>
      </c>
      <c r="G50" t="s">
        <v>31</v>
      </c>
      <c r="H50" t="s">
        <v>69</v>
      </c>
      <c r="I50">
        <v>2</v>
      </c>
      <c r="J50">
        <v>3093.57</v>
      </c>
      <c r="K50">
        <v>0.1</v>
      </c>
      <c r="L50">
        <v>5568.43</v>
      </c>
      <c r="M50">
        <v>4316.1000000000004</v>
      </c>
      <c r="N50">
        <v>1252.33</v>
      </c>
      <c r="O50">
        <f t="shared" si="0"/>
        <v>6187.14</v>
      </c>
      <c r="P50">
        <f t="shared" si="1"/>
        <v>618.71400000000006</v>
      </c>
      <c r="Q50">
        <f t="shared" si="2"/>
        <v>22.489822086297213</v>
      </c>
    </row>
    <row r="51" spans="1:17" x14ac:dyDescent="0.3">
      <c r="A51" t="s">
        <v>146</v>
      </c>
      <c r="B51" s="2">
        <v>46276</v>
      </c>
      <c r="C51" t="s">
        <v>147</v>
      </c>
      <c r="D51" t="s">
        <v>145</v>
      </c>
      <c r="E51" t="s">
        <v>36</v>
      </c>
      <c r="F51" t="s">
        <v>30</v>
      </c>
      <c r="G51" t="s">
        <v>31</v>
      </c>
      <c r="H51" t="s">
        <v>25</v>
      </c>
      <c r="I51">
        <v>2</v>
      </c>
      <c r="J51">
        <v>2473.7199999999998</v>
      </c>
      <c r="K51">
        <v>0.1</v>
      </c>
      <c r="L51">
        <v>4452.7</v>
      </c>
      <c r="M51">
        <v>3271.54</v>
      </c>
      <c r="N51">
        <v>1181.1600000000001</v>
      </c>
      <c r="O51">
        <f t="shared" si="0"/>
        <v>4947.4399999999996</v>
      </c>
      <c r="P51">
        <f t="shared" si="1"/>
        <v>494.74399999999997</v>
      </c>
      <c r="Q51">
        <f t="shared" si="2"/>
        <v>26.526826419924994</v>
      </c>
    </row>
    <row r="52" spans="1:17" x14ac:dyDescent="0.3">
      <c r="A52" t="s">
        <v>148</v>
      </c>
      <c r="B52" s="2">
        <v>46169</v>
      </c>
      <c r="C52" t="s">
        <v>149</v>
      </c>
      <c r="D52" t="s">
        <v>72</v>
      </c>
      <c r="E52" t="s">
        <v>29</v>
      </c>
      <c r="F52" t="s">
        <v>86</v>
      </c>
      <c r="G52" t="s">
        <v>46</v>
      </c>
      <c r="H52" t="s">
        <v>69</v>
      </c>
      <c r="I52">
        <v>5</v>
      </c>
      <c r="J52">
        <v>66575.100000000006</v>
      </c>
      <c r="K52">
        <v>0</v>
      </c>
      <c r="L52">
        <v>332875.5</v>
      </c>
      <c r="M52">
        <v>303896.40000000002</v>
      </c>
      <c r="N52">
        <v>28979.1</v>
      </c>
      <c r="O52">
        <f t="shared" si="0"/>
        <v>332875.5</v>
      </c>
      <c r="P52">
        <f t="shared" si="1"/>
        <v>0</v>
      </c>
      <c r="Q52">
        <f t="shared" si="2"/>
        <v>8.7056872614536047</v>
      </c>
    </row>
    <row r="53" spans="1:17" x14ac:dyDescent="0.3">
      <c r="A53" t="s">
        <v>150</v>
      </c>
      <c r="B53" s="2">
        <v>46182</v>
      </c>
      <c r="C53" t="s">
        <v>151</v>
      </c>
      <c r="D53" t="s">
        <v>102</v>
      </c>
      <c r="E53" t="s">
        <v>29</v>
      </c>
      <c r="F53" t="s">
        <v>79</v>
      </c>
      <c r="G53" t="s">
        <v>31</v>
      </c>
      <c r="H53" t="s">
        <v>38</v>
      </c>
      <c r="I53">
        <v>2</v>
      </c>
      <c r="J53">
        <v>7415.12</v>
      </c>
      <c r="K53">
        <v>0.05</v>
      </c>
      <c r="L53">
        <v>14088.73</v>
      </c>
      <c r="M53">
        <v>12162.73</v>
      </c>
      <c r="N53">
        <v>1926</v>
      </c>
      <c r="O53">
        <f t="shared" si="0"/>
        <v>14830.24</v>
      </c>
      <c r="P53">
        <f t="shared" si="1"/>
        <v>741.51200000000006</v>
      </c>
      <c r="Q53">
        <f t="shared" si="2"/>
        <v>13.670501173633109</v>
      </c>
    </row>
    <row r="54" spans="1:17" x14ac:dyDescent="0.3">
      <c r="A54" t="s">
        <v>152</v>
      </c>
      <c r="B54" s="2">
        <v>46087</v>
      </c>
      <c r="C54" t="s">
        <v>116</v>
      </c>
      <c r="D54" t="s">
        <v>89</v>
      </c>
      <c r="E54" t="s">
        <v>90</v>
      </c>
      <c r="F54" t="s">
        <v>18</v>
      </c>
      <c r="G54" t="s">
        <v>19</v>
      </c>
      <c r="H54" t="s">
        <v>25</v>
      </c>
      <c r="I54">
        <v>4</v>
      </c>
      <c r="J54">
        <v>26012.36</v>
      </c>
      <c r="K54">
        <v>0</v>
      </c>
      <c r="L54">
        <v>104049.44</v>
      </c>
      <c r="M54">
        <v>84722.18</v>
      </c>
      <c r="N54">
        <v>19327.259999999998</v>
      </c>
      <c r="O54">
        <f t="shared" si="0"/>
        <v>104049.44</v>
      </c>
      <c r="P54">
        <f t="shared" si="1"/>
        <v>0</v>
      </c>
      <c r="Q54">
        <f t="shared" si="2"/>
        <v>18.575073541962357</v>
      </c>
    </row>
    <row r="55" spans="1:17" x14ac:dyDescent="0.3">
      <c r="A55" t="s">
        <v>153</v>
      </c>
      <c r="B55" s="2">
        <v>46275</v>
      </c>
      <c r="C55" t="s">
        <v>71</v>
      </c>
      <c r="D55" t="s">
        <v>106</v>
      </c>
      <c r="E55" t="s">
        <v>90</v>
      </c>
      <c r="F55" t="s">
        <v>45</v>
      </c>
      <c r="G55" t="s">
        <v>46</v>
      </c>
      <c r="H55" t="s">
        <v>50</v>
      </c>
      <c r="I55">
        <v>1</v>
      </c>
      <c r="J55">
        <v>49150.34</v>
      </c>
      <c r="K55">
        <v>0.05</v>
      </c>
      <c r="L55">
        <v>46692.82</v>
      </c>
      <c r="M55">
        <v>42271.68</v>
      </c>
      <c r="N55">
        <v>4421.1400000000003</v>
      </c>
      <c r="O55">
        <f t="shared" si="0"/>
        <v>49150.34</v>
      </c>
      <c r="P55">
        <f t="shared" si="1"/>
        <v>2457.5169999999998</v>
      </c>
      <c r="Q55">
        <f t="shared" si="2"/>
        <v>9.4685649742294427</v>
      </c>
    </row>
    <row r="56" spans="1:17" x14ac:dyDescent="0.3">
      <c r="A56" t="s">
        <v>154</v>
      </c>
      <c r="B56" s="2">
        <v>46137</v>
      </c>
      <c r="C56" t="s">
        <v>155</v>
      </c>
      <c r="D56" t="s">
        <v>62</v>
      </c>
      <c r="E56" t="s">
        <v>24</v>
      </c>
      <c r="F56" t="s">
        <v>57</v>
      </c>
      <c r="G56" t="s">
        <v>19</v>
      </c>
      <c r="H56" t="s">
        <v>38</v>
      </c>
      <c r="I56">
        <v>5</v>
      </c>
      <c r="J56">
        <v>7008.8</v>
      </c>
      <c r="K56">
        <v>0</v>
      </c>
      <c r="L56">
        <v>35044</v>
      </c>
      <c r="M56">
        <v>24797.21</v>
      </c>
      <c r="N56">
        <v>10246.790000000001</v>
      </c>
      <c r="O56">
        <f t="shared" si="0"/>
        <v>35044</v>
      </c>
      <c r="P56">
        <f t="shared" si="1"/>
        <v>0</v>
      </c>
      <c r="Q56">
        <f t="shared" si="2"/>
        <v>29.23978427120192</v>
      </c>
    </row>
    <row r="57" spans="1:17" x14ac:dyDescent="0.3">
      <c r="A57" t="s">
        <v>156</v>
      </c>
      <c r="B57" s="2">
        <v>46239</v>
      </c>
      <c r="C57" t="s">
        <v>133</v>
      </c>
      <c r="D57" t="s">
        <v>85</v>
      </c>
      <c r="E57" t="s">
        <v>17</v>
      </c>
      <c r="F57" t="s">
        <v>41</v>
      </c>
      <c r="G57" t="s">
        <v>42</v>
      </c>
      <c r="H57" t="s">
        <v>103</v>
      </c>
      <c r="I57">
        <v>5</v>
      </c>
      <c r="J57">
        <v>19151.330000000002</v>
      </c>
      <c r="K57">
        <v>0.1</v>
      </c>
      <c r="L57">
        <v>86180.99</v>
      </c>
      <c r="M57">
        <v>69218.83</v>
      </c>
      <c r="N57">
        <v>16962.16</v>
      </c>
      <c r="O57">
        <f t="shared" si="0"/>
        <v>95756.650000000009</v>
      </c>
      <c r="P57">
        <f t="shared" si="1"/>
        <v>9575.6650000000009</v>
      </c>
      <c r="Q57">
        <f t="shared" si="2"/>
        <v>19.682020362031114</v>
      </c>
    </row>
    <row r="58" spans="1:17" x14ac:dyDescent="0.3">
      <c r="A58" t="s">
        <v>157</v>
      </c>
      <c r="B58" s="2">
        <v>46058</v>
      </c>
      <c r="C58" t="s">
        <v>158</v>
      </c>
      <c r="D58" t="s">
        <v>123</v>
      </c>
      <c r="E58" t="s">
        <v>90</v>
      </c>
      <c r="F58" t="s">
        <v>86</v>
      </c>
      <c r="G58" t="s">
        <v>46</v>
      </c>
      <c r="H58" t="s">
        <v>54</v>
      </c>
      <c r="I58">
        <v>7</v>
      </c>
      <c r="J58">
        <v>76056.52</v>
      </c>
      <c r="K58">
        <v>0.1</v>
      </c>
      <c r="L58">
        <v>479156.08</v>
      </c>
      <c r="M58">
        <v>399692.22</v>
      </c>
      <c r="N58">
        <v>79463.86</v>
      </c>
      <c r="O58">
        <f t="shared" si="0"/>
        <v>532395.64</v>
      </c>
      <c r="P58">
        <f t="shared" si="1"/>
        <v>53239.564000000006</v>
      </c>
      <c r="Q58">
        <f t="shared" si="2"/>
        <v>16.584128495249399</v>
      </c>
    </row>
    <row r="59" spans="1:17" x14ac:dyDescent="0.3">
      <c r="A59" t="s">
        <v>159</v>
      </c>
      <c r="B59" s="2">
        <v>46035</v>
      </c>
      <c r="C59" t="s">
        <v>160</v>
      </c>
      <c r="D59" t="s">
        <v>126</v>
      </c>
      <c r="E59" t="s">
        <v>24</v>
      </c>
      <c r="F59" t="s">
        <v>41</v>
      </c>
      <c r="G59" t="s">
        <v>42</v>
      </c>
      <c r="H59" t="s">
        <v>69</v>
      </c>
      <c r="I59">
        <v>6</v>
      </c>
      <c r="J59">
        <v>11717.67</v>
      </c>
      <c r="K59">
        <v>0.1</v>
      </c>
      <c r="L59">
        <v>63275.42</v>
      </c>
      <c r="M59">
        <v>53111.47</v>
      </c>
      <c r="N59">
        <v>10163.950000000001</v>
      </c>
      <c r="O59">
        <f t="shared" si="0"/>
        <v>70306.02</v>
      </c>
      <c r="P59">
        <f t="shared" si="1"/>
        <v>7030.6020000000008</v>
      </c>
      <c r="Q59">
        <f t="shared" si="2"/>
        <v>16.063030478501762</v>
      </c>
    </row>
    <row r="60" spans="1:17" x14ac:dyDescent="0.3">
      <c r="A60" t="s">
        <v>161</v>
      </c>
      <c r="B60" s="2">
        <v>46209</v>
      </c>
      <c r="C60" t="s">
        <v>162</v>
      </c>
      <c r="D60" t="s">
        <v>106</v>
      </c>
      <c r="E60" t="s">
        <v>90</v>
      </c>
      <c r="F60" t="s">
        <v>86</v>
      </c>
      <c r="G60" t="s">
        <v>46</v>
      </c>
      <c r="H60" t="s">
        <v>50</v>
      </c>
      <c r="I60">
        <v>5</v>
      </c>
      <c r="J60">
        <v>47139.41</v>
      </c>
      <c r="K60">
        <v>0.1</v>
      </c>
      <c r="L60">
        <v>212127.35</v>
      </c>
      <c r="M60">
        <v>193220.72</v>
      </c>
      <c r="N60">
        <v>18906.63</v>
      </c>
      <c r="O60">
        <f t="shared" si="0"/>
        <v>235697.05000000002</v>
      </c>
      <c r="P60">
        <f t="shared" si="1"/>
        <v>23569.705000000002</v>
      </c>
      <c r="Q60">
        <f t="shared" si="2"/>
        <v>8.912867671236171</v>
      </c>
    </row>
    <row r="61" spans="1:17" x14ac:dyDescent="0.3">
      <c r="A61" t="s">
        <v>163</v>
      </c>
      <c r="B61" s="2">
        <v>46245</v>
      </c>
      <c r="C61" t="s">
        <v>164</v>
      </c>
      <c r="D61" t="s">
        <v>16</v>
      </c>
      <c r="E61" t="s">
        <v>17</v>
      </c>
      <c r="F61" t="s">
        <v>49</v>
      </c>
      <c r="G61" t="s">
        <v>46</v>
      </c>
      <c r="H61" t="s">
        <v>20</v>
      </c>
      <c r="I61">
        <v>5</v>
      </c>
      <c r="J61">
        <v>25804.720000000001</v>
      </c>
      <c r="K61">
        <v>0</v>
      </c>
      <c r="L61">
        <v>129023.6</v>
      </c>
      <c r="M61">
        <v>112996.33</v>
      </c>
      <c r="N61">
        <v>16027.27</v>
      </c>
      <c r="O61">
        <f t="shared" si="0"/>
        <v>129023.6</v>
      </c>
      <c r="P61">
        <f t="shared" si="1"/>
        <v>0</v>
      </c>
      <c r="Q61">
        <f t="shared" si="2"/>
        <v>12.421967764036966</v>
      </c>
    </row>
    <row r="62" spans="1:17" x14ac:dyDescent="0.3">
      <c r="A62" t="s">
        <v>165</v>
      </c>
      <c r="B62" s="2">
        <v>46075</v>
      </c>
      <c r="C62" t="s">
        <v>166</v>
      </c>
      <c r="D62" t="s">
        <v>126</v>
      </c>
      <c r="E62" t="s">
        <v>24</v>
      </c>
      <c r="F62" t="s">
        <v>41</v>
      </c>
      <c r="G62" t="s">
        <v>42</v>
      </c>
      <c r="H62" t="s">
        <v>20</v>
      </c>
      <c r="I62">
        <v>5</v>
      </c>
      <c r="J62">
        <v>8723.15</v>
      </c>
      <c r="K62">
        <v>0.05</v>
      </c>
      <c r="L62">
        <v>41434.959999999999</v>
      </c>
      <c r="M62">
        <v>37005.269999999997</v>
      </c>
      <c r="N62">
        <v>4429.6899999999996</v>
      </c>
      <c r="O62">
        <f t="shared" si="0"/>
        <v>43615.75</v>
      </c>
      <c r="P62">
        <f t="shared" si="1"/>
        <v>2180.7874999999999</v>
      </c>
      <c r="Q62">
        <f t="shared" si="2"/>
        <v>10.690706591728336</v>
      </c>
    </row>
    <row r="63" spans="1:17" x14ac:dyDescent="0.3">
      <c r="A63" t="s">
        <v>167</v>
      </c>
      <c r="B63" s="2">
        <v>46185</v>
      </c>
      <c r="C63" t="s">
        <v>97</v>
      </c>
      <c r="D63" t="s">
        <v>126</v>
      </c>
      <c r="E63" t="s">
        <v>24</v>
      </c>
      <c r="F63" t="s">
        <v>45</v>
      </c>
      <c r="G63" t="s">
        <v>46</v>
      </c>
      <c r="H63" t="s">
        <v>50</v>
      </c>
      <c r="I63">
        <v>1</v>
      </c>
      <c r="J63">
        <v>63432.6</v>
      </c>
      <c r="K63">
        <v>0.1</v>
      </c>
      <c r="L63">
        <v>57089.34</v>
      </c>
      <c r="M63">
        <v>50487.55</v>
      </c>
      <c r="N63">
        <v>6601.79</v>
      </c>
      <c r="O63">
        <f t="shared" si="0"/>
        <v>63432.6</v>
      </c>
      <c r="P63">
        <f t="shared" si="1"/>
        <v>6343.26</v>
      </c>
      <c r="Q63">
        <f t="shared" si="2"/>
        <v>11.56396272929412</v>
      </c>
    </row>
    <row r="64" spans="1:17" x14ac:dyDescent="0.3">
      <c r="A64" t="s">
        <v>168</v>
      </c>
      <c r="B64" s="2">
        <v>46163</v>
      </c>
      <c r="C64" t="s">
        <v>169</v>
      </c>
      <c r="D64" t="s">
        <v>23</v>
      </c>
      <c r="E64" t="s">
        <v>24</v>
      </c>
      <c r="F64" t="s">
        <v>37</v>
      </c>
      <c r="G64" t="s">
        <v>31</v>
      </c>
      <c r="H64" t="s">
        <v>103</v>
      </c>
      <c r="I64">
        <v>3</v>
      </c>
      <c r="J64">
        <v>4871.54</v>
      </c>
      <c r="K64">
        <v>0.05</v>
      </c>
      <c r="L64">
        <v>13883.89</v>
      </c>
      <c r="M64">
        <v>11804.61</v>
      </c>
      <c r="N64">
        <v>2079.2800000000002</v>
      </c>
      <c r="O64">
        <f t="shared" si="0"/>
        <v>14614.619999999999</v>
      </c>
      <c r="P64">
        <f t="shared" si="1"/>
        <v>730.73099999999999</v>
      </c>
      <c r="Q64">
        <f t="shared" si="2"/>
        <v>14.976206236148517</v>
      </c>
    </row>
    <row r="65" spans="1:17" x14ac:dyDescent="0.3">
      <c r="A65" t="s">
        <v>170</v>
      </c>
      <c r="B65" s="2">
        <v>46167</v>
      </c>
      <c r="C65" t="s">
        <v>135</v>
      </c>
      <c r="D65" t="s">
        <v>35</v>
      </c>
      <c r="E65" t="s">
        <v>36</v>
      </c>
      <c r="F65" t="s">
        <v>57</v>
      </c>
      <c r="G65" t="s">
        <v>19</v>
      </c>
      <c r="H65" t="s">
        <v>20</v>
      </c>
      <c r="I65">
        <v>4</v>
      </c>
      <c r="J65">
        <v>21762.02</v>
      </c>
      <c r="K65">
        <v>0</v>
      </c>
      <c r="L65">
        <v>87048.08</v>
      </c>
      <c r="M65">
        <v>63981.93</v>
      </c>
      <c r="N65">
        <v>23066.15</v>
      </c>
      <c r="O65">
        <f t="shared" si="0"/>
        <v>87048.08</v>
      </c>
      <c r="P65">
        <f t="shared" si="1"/>
        <v>0</v>
      </c>
      <c r="Q65">
        <f t="shared" si="2"/>
        <v>26.498172044690705</v>
      </c>
    </row>
    <row r="66" spans="1:17" x14ac:dyDescent="0.3">
      <c r="A66" t="s">
        <v>171</v>
      </c>
      <c r="B66" s="2">
        <v>46204</v>
      </c>
      <c r="C66" t="s">
        <v>172</v>
      </c>
      <c r="D66" t="s">
        <v>126</v>
      </c>
      <c r="E66" t="s">
        <v>24</v>
      </c>
      <c r="F66" t="s">
        <v>37</v>
      </c>
      <c r="G66" t="s">
        <v>31</v>
      </c>
      <c r="H66" t="s">
        <v>25</v>
      </c>
      <c r="I66">
        <v>7</v>
      </c>
      <c r="J66">
        <v>9204.01</v>
      </c>
      <c r="K66">
        <v>0</v>
      </c>
      <c r="L66">
        <v>64428.07</v>
      </c>
      <c r="M66">
        <v>53446.83</v>
      </c>
      <c r="N66">
        <v>10981.24</v>
      </c>
      <c r="O66">
        <f t="shared" si="0"/>
        <v>64428.07</v>
      </c>
      <c r="P66">
        <f t="shared" si="1"/>
        <v>0</v>
      </c>
      <c r="Q66">
        <f t="shared" si="2"/>
        <v>17.044185864949856</v>
      </c>
    </row>
    <row r="67" spans="1:17" x14ac:dyDescent="0.3">
      <c r="A67" t="s">
        <v>173</v>
      </c>
      <c r="B67" s="2">
        <v>46170</v>
      </c>
      <c r="C67" t="s">
        <v>174</v>
      </c>
      <c r="D67" t="s">
        <v>28</v>
      </c>
      <c r="E67" t="s">
        <v>29</v>
      </c>
      <c r="F67" t="s">
        <v>18</v>
      </c>
      <c r="G67" t="s">
        <v>19</v>
      </c>
      <c r="H67" t="s">
        <v>50</v>
      </c>
      <c r="I67">
        <v>1</v>
      </c>
      <c r="J67">
        <v>9468.0499999999993</v>
      </c>
      <c r="K67">
        <v>0.05</v>
      </c>
      <c r="L67">
        <v>8994.65</v>
      </c>
      <c r="M67">
        <v>6820.42</v>
      </c>
      <c r="N67">
        <v>2174.23</v>
      </c>
      <c r="O67">
        <f t="shared" ref="O67:O130" si="3">I67*J67</f>
        <v>9468.0499999999993</v>
      </c>
      <c r="P67">
        <f t="shared" ref="P67:P130" si="4">O67*K67</f>
        <v>473.40249999999997</v>
      </c>
      <c r="Q67">
        <f t="shared" ref="Q67:Q130" si="5">N67/L67*100</f>
        <v>24.172480307738489</v>
      </c>
    </row>
    <row r="68" spans="1:17" x14ac:dyDescent="0.3">
      <c r="A68" t="s">
        <v>175</v>
      </c>
      <c r="B68" s="2">
        <v>46213</v>
      </c>
      <c r="C68" t="s">
        <v>176</v>
      </c>
      <c r="D68" t="s">
        <v>28</v>
      </c>
      <c r="E68" t="s">
        <v>29</v>
      </c>
      <c r="F68" t="s">
        <v>86</v>
      </c>
      <c r="G68" t="s">
        <v>46</v>
      </c>
      <c r="H68" t="s">
        <v>20</v>
      </c>
      <c r="I68">
        <v>1</v>
      </c>
      <c r="J68">
        <v>48315.65</v>
      </c>
      <c r="K68">
        <v>0</v>
      </c>
      <c r="L68">
        <v>48315.65</v>
      </c>
      <c r="M68">
        <v>39796.53</v>
      </c>
      <c r="N68">
        <v>8519.1200000000008</v>
      </c>
      <c r="O68">
        <f t="shared" si="3"/>
        <v>48315.65</v>
      </c>
      <c r="P68">
        <f t="shared" si="4"/>
        <v>0</v>
      </c>
      <c r="Q68">
        <f t="shared" si="5"/>
        <v>17.632216476441901</v>
      </c>
    </row>
    <row r="69" spans="1:17" x14ac:dyDescent="0.3">
      <c r="A69" t="s">
        <v>177</v>
      </c>
      <c r="B69" s="2">
        <v>46182</v>
      </c>
      <c r="C69" t="s">
        <v>93</v>
      </c>
      <c r="D69" t="s">
        <v>108</v>
      </c>
      <c r="E69" t="s">
        <v>36</v>
      </c>
      <c r="F69" t="s">
        <v>30</v>
      </c>
      <c r="G69" t="s">
        <v>31</v>
      </c>
      <c r="H69" t="s">
        <v>38</v>
      </c>
      <c r="I69">
        <v>5</v>
      </c>
      <c r="J69">
        <v>982.28</v>
      </c>
      <c r="K69">
        <v>0.15</v>
      </c>
      <c r="L69">
        <v>4174.6899999999996</v>
      </c>
      <c r="M69">
        <v>3508.44</v>
      </c>
      <c r="N69">
        <v>666.25</v>
      </c>
      <c r="O69">
        <f t="shared" si="3"/>
        <v>4911.3999999999996</v>
      </c>
      <c r="P69">
        <f t="shared" si="4"/>
        <v>736.70999999999992</v>
      </c>
      <c r="Q69">
        <f t="shared" si="5"/>
        <v>15.959268831937223</v>
      </c>
    </row>
    <row r="70" spans="1:17" x14ac:dyDescent="0.3">
      <c r="A70" t="s">
        <v>178</v>
      </c>
      <c r="B70" s="2">
        <v>46069</v>
      </c>
      <c r="C70" t="s">
        <v>179</v>
      </c>
      <c r="D70" t="s">
        <v>62</v>
      </c>
      <c r="E70" t="s">
        <v>24</v>
      </c>
      <c r="F70" t="s">
        <v>86</v>
      </c>
      <c r="G70" t="s">
        <v>46</v>
      </c>
      <c r="H70" t="s">
        <v>103</v>
      </c>
      <c r="I70">
        <v>7</v>
      </c>
      <c r="J70">
        <v>72829.95</v>
      </c>
      <c r="K70">
        <v>0.15</v>
      </c>
      <c r="L70">
        <v>433338.2</v>
      </c>
      <c r="M70">
        <v>368470.72</v>
      </c>
      <c r="N70">
        <v>64867.48</v>
      </c>
      <c r="O70">
        <f t="shared" si="3"/>
        <v>509809.64999999997</v>
      </c>
      <c r="P70">
        <f t="shared" si="4"/>
        <v>76471.447499999995</v>
      </c>
      <c r="Q70">
        <f t="shared" si="5"/>
        <v>14.969250345342274</v>
      </c>
    </row>
    <row r="71" spans="1:17" x14ac:dyDescent="0.3">
      <c r="A71" t="s">
        <v>180</v>
      </c>
      <c r="B71" s="2">
        <v>46034</v>
      </c>
      <c r="C71" t="s">
        <v>71</v>
      </c>
      <c r="D71" t="s">
        <v>72</v>
      </c>
      <c r="E71" t="s">
        <v>29</v>
      </c>
      <c r="F71" t="s">
        <v>18</v>
      </c>
      <c r="G71" t="s">
        <v>19</v>
      </c>
      <c r="H71" t="s">
        <v>103</v>
      </c>
      <c r="I71">
        <v>4</v>
      </c>
      <c r="J71">
        <v>15284.96</v>
      </c>
      <c r="K71">
        <v>0</v>
      </c>
      <c r="L71">
        <v>61139.839999999997</v>
      </c>
      <c r="M71">
        <v>50112.56</v>
      </c>
      <c r="N71">
        <v>11027.28</v>
      </c>
      <c r="O71">
        <f t="shared" si="3"/>
        <v>61139.839999999997</v>
      </c>
      <c r="P71">
        <f t="shared" si="4"/>
        <v>0</v>
      </c>
      <c r="Q71">
        <f t="shared" si="5"/>
        <v>18.036161036731535</v>
      </c>
    </row>
    <row r="72" spans="1:17" x14ac:dyDescent="0.3">
      <c r="A72" t="s">
        <v>181</v>
      </c>
      <c r="B72" s="2">
        <v>46208</v>
      </c>
      <c r="C72" t="s">
        <v>182</v>
      </c>
      <c r="D72" t="s">
        <v>28</v>
      </c>
      <c r="E72" t="s">
        <v>29</v>
      </c>
      <c r="F72" t="s">
        <v>45</v>
      </c>
      <c r="G72" t="s">
        <v>46</v>
      </c>
      <c r="H72" t="s">
        <v>69</v>
      </c>
      <c r="I72">
        <v>5</v>
      </c>
      <c r="J72">
        <v>28296.9</v>
      </c>
      <c r="K72">
        <v>0.15</v>
      </c>
      <c r="L72">
        <v>120261.82</v>
      </c>
      <c r="M72">
        <v>102371.8</v>
      </c>
      <c r="N72">
        <v>17890.02</v>
      </c>
      <c r="O72">
        <f t="shared" si="3"/>
        <v>141484.5</v>
      </c>
      <c r="P72">
        <f t="shared" si="4"/>
        <v>21222.674999999999</v>
      </c>
      <c r="Q72">
        <f t="shared" si="5"/>
        <v>14.875893280178198</v>
      </c>
    </row>
    <row r="73" spans="1:17" x14ac:dyDescent="0.3">
      <c r="A73" t="s">
        <v>183</v>
      </c>
      <c r="B73" s="2">
        <v>46234</v>
      </c>
      <c r="C73" t="s">
        <v>184</v>
      </c>
      <c r="D73" t="s">
        <v>108</v>
      </c>
      <c r="E73" t="s">
        <v>36</v>
      </c>
      <c r="F73" t="s">
        <v>49</v>
      </c>
      <c r="G73" t="s">
        <v>46</v>
      </c>
      <c r="H73" t="s">
        <v>103</v>
      </c>
      <c r="I73">
        <v>2</v>
      </c>
      <c r="J73">
        <v>35031.040000000001</v>
      </c>
      <c r="K73">
        <v>0</v>
      </c>
      <c r="L73">
        <v>70062.080000000002</v>
      </c>
      <c r="M73">
        <v>61493.16</v>
      </c>
      <c r="N73">
        <v>8568.92</v>
      </c>
      <c r="O73">
        <f t="shared" si="3"/>
        <v>70062.080000000002</v>
      </c>
      <c r="P73">
        <f t="shared" si="4"/>
        <v>0</v>
      </c>
      <c r="Q73">
        <f t="shared" si="5"/>
        <v>12.230467608155509</v>
      </c>
    </row>
    <row r="74" spans="1:17" x14ac:dyDescent="0.3">
      <c r="A74" t="s">
        <v>185</v>
      </c>
      <c r="B74" s="2">
        <v>46264</v>
      </c>
      <c r="C74" t="s">
        <v>186</v>
      </c>
      <c r="D74" t="s">
        <v>102</v>
      </c>
      <c r="E74" t="s">
        <v>29</v>
      </c>
      <c r="F74" t="s">
        <v>30</v>
      </c>
      <c r="G74" t="s">
        <v>31</v>
      </c>
      <c r="H74" t="s">
        <v>20</v>
      </c>
      <c r="I74">
        <v>1</v>
      </c>
      <c r="J74">
        <v>910.74</v>
      </c>
      <c r="K74">
        <v>0.1</v>
      </c>
      <c r="L74">
        <v>819.67</v>
      </c>
      <c r="M74">
        <v>645.53</v>
      </c>
      <c r="N74">
        <v>174.14</v>
      </c>
      <c r="O74">
        <f t="shared" si="3"/>
        <v>910.74</v>
      </c>
      <c r="P74">
        <f t="shared" si="4"/>
        <v>91.074000000000012</v>
      </c>
      <c r="Q74">
        <f t="shared" si="5"/>
        <v>21.245135237351619</v>
      </c>
    </row>
    <row r="75" spans="1:17" x14ac:dyDescent="0.3">
      <c r="A75" t="s">
        <v>187</v>
      </c>
      <c r="B75" s="2">
        <v>46085</v>
      </c>
      <c r="C75" t="s">
        <v>133</v>
      </c>
      <c r="D75" t="s">
        <v>62</v>
      </c>
      <c r="E75" t="s">
        <v>24</v>
      </c>
      <c r="F75" t="s">
        <v>53</v>
      </c>
      <c r="G75" t="s">
        <v>46</v>
      </c>
      <c r="H75" t="s">
        <v>54</v>
      </c>
      <c r="I75">
        <v>1</v>
      </c>
      <c r="J75">
        <v>30558.27</v>
      </c>
      <c r="K75">
        <v>0.1</v>
      </c>
      <c r="L75">
        <v>27502.44</v>
      </c>
      <c r="M75">
        <v>23463.18</v>
      </c>
      <c r="N75">
        <v>4039.26</v>
      </c>
      <c r="O75">
        <f t="shared" si="3"/>
        <v>30558.27</v>
      </c>
      <c r="P75">
        <f t="shared" si="4"/>
        <v>3055.8270000000002</v>
      </c>
      <c r="Q75">
        <f t="shared" si="5"/>
        <v>14.686915051900851</v>
      </c>
    </row>
    <row r="76" spans="1:17" x14ac:dyDescent="0.3">
      <c r="A76" t="s">
        <v>188</v>
      </c>
      <c r="B76" s="2">
        <v>46028</v>
      </c>
      <c r="C76" t="s">
        <v>131</v>
      </c>
      <c r="D76" t="s">
        <v>28</v>
      </c>
      <c r="E76" t="s">
        <v>29</v>
      </c>
      <c r="F76" t="s">
        <v>86</v>
      </c>
      <c r="G76" t="s">
        <v>46</v>
      </c>
      <c r="H76" t="s">
        <v>20</v>
      </c>
      <c r="I76">
        <v>5</v>
      </c>
      <c r="J76">
        <v>66373.850000000006</v>
      </c>
      <c r="K76">
        <v>0.15</v>
      </c>
      <c r="L76">
        <v>282088.86</v>
      </c>
      <c r="M76">
        <v>243853.64</v>
      </c>
      <c r="N76">
        <v>38235.22</v>
      </c>
      <c r="O76">
        <f t="shared" si="3"/>
        <v>331869.25</v>
      </c>
      <c r="P76">
        <f t="shared" si="4"/>
        <v>49780.387499999997</v>
      </c>
      <c r="Q76">
        <f t="shared" si="5"/>
        <v>13.554317600489435</v>
      </c>
    </row>
    <row r="77" spans="1:17" x14ac:dyDescent="0.3">
      <c r="A77" t="s">
        <v>189</v>
      </c>
      <c r="B77" s="2">
        <v>46224</v>
      </c>
      <c r="C77" t="s">
        <v>190</v>
      </c>
      <c r="D77" t="s">
        <v>72</v>
      </c>
      <c r="E77" t="s">
        <v>29</v>
      </c>
      <c r="F77" t="s">
        <v>49</v>
      </c>
      <c r="G77" t="s">
        <v>46</v>
      </c>
      <c r="H77" t="s">
        <v>50</v>
      </c>
      <c r="I77">
        <v>6</v>
      </c>
      <c r="J77">
        <v>18925.75</v>
      </c>
      <c r="K77">
        <v>0</v>
      </c>
      <c r="L77">
        <v>113554.5</v>
      </c>
      <c r="M77">
        <v>103035.97</v>
      </c>
      <c r="N77">
        <v>10518.53</v>
      </c>
      <c r="O77">
        <f t="shared" si="3"/>
        <v>113554.5</v>
      </c>
      <c r="P77">
        <f t="shared" si="4"/>
        <v>0</v>
      </c>
      <c r="Q77">
        <f t="shared" si="5"/>
        <v>9.262979450396065</v>
      </c>
    </row>
    <row r="78" spans="1:17" x14ac:dyDescent="0.3">
      <c r="A78" t="s">
        <v>191</v>
      </c>
      <c r="B78" s="2">
        <v>46056</v>
      </c>
      <c r="C78" t="s">
        <v>164</v>
      </c>
      <c r="D78" t="s">
        <v>28</v>
      </c>
      <c r="E78" t="s">
        <v>29</v>
      </c>
      <c r="F78" t="s">
        <v>18</v>
      </c>
      <c r="G78" t="s">
        <v>19</v>
      </c>
      <c r="H78" t="s">
        <v>25</v>
      </c>
      <c r="I78">
        <v>2</v>
      </c>
      <c r="J78">
        <v>7465.88</v>
      </c>
      <c r="K78">
        <v>0.05</v>
      </c>
      <c r="L78">
        <v>14185.17</v>
      </c>
      <c r="M78">
        <v>10600.89</v>
      </c>
      <c r="N78">
        <v>3584.28</v>
      </c>
      <c r="O78">
        <f t="shared" si="3"/>
        <v>14931.76</v>
      </c>
      <c r="P78">
        <f t="shared" si="4"/>
        <v>746.58800000000008</v>
      </c>
      <c r="Q78">
        <f t="shared" si="5"/>
        <v>25.267797284064979</v>
      </c>
    </row>
    <row r="79" spans="1:17" x14ac:dyDescent="0.3">
      <c r="A79" t="s">
        <v>192</v>
      </c>
      <c r="B79" s="2">
        <v>46290</v>
      </c>
      <c r="C79" t="s">
        <v>160</v>
      </c>
      <c r="D79" t="s">
        <v>89</v>
      </c>
      <c r="E79" t="s">
        <v>90</v>
      </c>
      <c r="F79" t="s">
        <v>53</v>
      </c>
      <c r="G79" t="s">
        <v>46</v>
      </c>
      <c r="H79" t="s">
        <v>54</v>
      </c>
      <c r="I79">
        <v>6</v>
      </c>
      <c r="J79">
        <v>34167.32</v>
      </c>
      <c r="K79">
        <v>0.1</v>
      </c>
      <c r="L79">
        <v>184503.53</v>
      </c>
      <c r="M79">
        <v>158608.78</v>
      </c>
      <c r="N79">
        <v>25894.75</v>
      </c>
      <c r="O79">
        <f t="shared" si="3"/>
        <v>205003.91999999998</v>
      </c>
      <c r="P79">
        <f t="shared" si="4"/>
        <v>20500.392</v>
      </c>
      <c r="Q79">
        <f t="shared" si="5"/>
        <v>14.034826325545099</v>
      </c>
    </row>
    <row r="80" spans="1:17" x14ac:dyDescent="0.3">
      <c r="A80" t="s">
        <v>193</v>
      </c>
      <c r="B80" s="2">
        <v>46229</v>
      </c>
      <c r="C80" t="s">
        <v>22</v>
      </c>
      <c r="D80" t="s">
        <v>85</v>
      </c>
      <c r="E80" t="s">
        <v>17</v>
      </c>
      <c r="F80" t="s">
        <v>30</v>
      </c>
      <c r="G80" t="s">
        <v>31</v>
      </c>
      <c r="H80" t="s">
        <v>25</v>
      </c>
      <c r="I80">
        <v>3</v>
      </c>
      <c r="J80">
        <v>3485.32</v>
      </c>
      <c r="K80">
        <v>0</v>
      </c>
      <c r="L80">
        <v>10455.959999999999</v>
      </c>
      <c r="M80">
        <v>8702.2000000000007</v>
      </c>
      <c r="N80">
        <v>1753.76</v>
      </c>
      <c r="O80">
        <f t="shared" si="3"/>
        <v>10455.960000000001</v>
      </c>
      <c r="P80">
        <f t="shared" si="4"/>
        <v>0</v>
      </c>
      <c r="Q80">
        <f t="shared" si="5"/>
        <v>16.772826215861578</v>
      </c>
    </row>
    <row r="81" spans="1:17" x14ac:dyDescent="0.3">
      <c r="A81" t="s">
        <v>194</v>
      </c>
      <c r="B81" s="2">
        <v>46120</v>
      </c>
      <c r="C81" t="s">
        <v>195</v>
      </c>
      <c r="D81" t="s">
        <v>123</v>
      </c>
      <c r="E81" t="s">
        <v>90</v>
      </c>
      <c r="F81" t="s">
        <v>49</v>
      </c>
      <c r="G81" t="s">
        <v>46</v>
      </c>
      <c r="H81" t="s">
        <v>38</v>
      </c>
      <c r="I81">
        <v>4</v>
      </c>
      <c r="J81">
        <v>37316.44</v>
      </c>
      <c r="K81">
        <v>0.05</v>
      </c>
      <c r="L81">
        <v>141802.47</v>
      </c>
      <c r="M81">
        <v>126121.68</v>
      </c>
      <c r="N81">
        <v>15680.79</v>
      </c>
      <c r="O81">
        <f t="shared" si="3"/>
        <v>149265.76</v>
      </c>
      <c r="P81">
        <f t="shared" si="4"/>
        <v>7463.2880000000005</v>
      </c>
      <c r="Q81">
        <f t="shared" si="5"/>
        <v>11.058192427818783</v>
      </c>
    </row>
    <row r="82" spans="1:17" x14ac:dyDescent="0.3">
      <c r="A82" t="s">
        <v>196</v>
      </c>
      <c r="B82" s="2">
        <v>46052</v>
      </c>
      <c r="C82" t="s">
        <v>182</v>
      </c>
      <c r="D82" t="s">
        <v>126</v>
      </c>
      <c r="E82" t="s">
        <v>24</v>
      </c>
      <c r="F82" t="s">
        <v>37</v>
      </c>
      <c r="G82" t="s">
        <v>31</v>
      </c>
      <c r="H82" t="s">
        <v>25</v>
      </c>
      <c r="I82">
        <v>5</v>
      </c>
      <c r="J82">
        <v>8830.09</v>
      </c>
      <c r="K82">
        <v>0.1</v>
      </c>
      <c r="L82">
        <v>39735.4</v>
      </c>
      <c r="M82">
        <v>31982.16</v>
      </c>
      <c r="N82">
        <v>7753.24</v>
      </c>
      <c r="O82">
        <f t="shared" si="3"/>
        <v>44150.45</v>
      </c>
      <c r="P82">
        <f t="shared" si="4"/>
        <v>4415.0450000000001</v>
      </c>
      <c r="Q82">
        <f t="shared" si="5"/>
        <v>19.512173024557448</v>
      </c>
    </row>
    <row r="83" spans="1:17" x14ac:dyDescent="0.3">
      <c r="A83" t="s">
        <v>197</v>
      </c>
      <c r="B83" s="2">
        <v>46295</v>
      </c>
      <c r="C83" t="s">
        <v>172</v>
      </c>
      <c r="D83" t="s">
        <v>28</v>
      </c>
      <c r="E83" t="s">
        <v>29</v>
      </c>
      <c r="F83" t="s">
        <v>79</v>
      </c>
      <c r="G83" t="s">
        <v>31</v>
      </c>
      <c r="H83" t="s">
        <v>32</v>
      </c>
      <c r="I83">
        <v>2</v>
      </c>
      <c r="J83">
        <v>6158.67</v>
      </c>
      <c r="K83">
        <v>0.05</v>
      </c>
      <c r="L83">
        <v>11701.47</v>
      </c>
      <c r="M83">
        <v>9768.81</v>
      </c>
      <c r="N83">
        <v>1932.66</v>
      </c>
      <c r="O83">
        <f t="shared" si="3"/>
        <v>12317.34</v>
      </c>
      <c r="P83">
        <f t="shared" si="4"/>
        <v>615.86700000000008</v>
      </c>
      <c r="Q83">
        <f t="shared" si="5"/>
        <v>16.516386402734017</v>
      </c>
    </row>
    <row r="84" spans="1:17" x14ac:dyDescent="0.3">
      <c r="A84" t="s">
        <v>198</v>
      </c>
      <c r="B84" s="2">
        <v>46065</v>
      </c>
      <c r="C84" t="s">
        <v>199</v>
      </c>
      <c r="D84" t="s">
        <v>102</v>
      </c>
      <c r="E84" t="s">
        <v>29</v>
      </c>
      <c r="F84" t="s">
        <v>200</v>
      </c>
      <c r="G84" t="s">
        <v>46</v>
      </c>
      <c r="H84" t="s">
        <v>103</v>
      </c>
      <c r="I84">
        <v>7</v>
      </c>
      <c r="J84">
        <v>27043.38</v>
      </c>
      <c r="K84">
        <v>0</v>
      </c>
      <c r="L84">
        <v>189303.66</v>
      </c>
      <c r="M84">
        <v>173464.39</v>
      </c>
      <c r="N84">
        <v>15839.27</v>
      </c>
      <c r="O84">
        <f t="shared" si="3"/>
        <v>189303.66</v>
      </c>
      <c r="P84">
        <f t="shared" si="4"/>
        <v>0</v>
      </c>
      <c r="Q84">
        <f t="shared" si="5"/>
        <v>8.3671229600103878</v>
      </c>
    </row>
    <row r="85" spans="1:17" x14ac:dyDescent="0.3">
      <c r="A85" t="s">
        <v>201</v>
      </c>
      <c r="B85" s="2">
        <v>46030</v>
      </c>
      <c r="C85" t="s">
        <v>140</v>
      </c>
      <c r="D85" t="s">
        <v>16</v>
      </c>
      <c r="E85" t="s">
        <v>17</v>
      </c>
      <c r="F85" t="s">
        <v>18</v>
      </c>
      <c r="G85" t="s">
        <v>19</v>
      </c>
      <c r="H85" t="s">
        <v>103</v>
      </c>
      <c r="I85">
        <v>1</v>
      </c>
      <c r="J85">
        <v>21626.53</v>
      </c>
      <c r="K85">
        <v>0.1</v>
      </c>
      <c r="L85">
        <v>19463.88</v>
      </c>
      <c r="M85">
        <v>15242.64</v>
      </c>
      <c r="N85">
        <v>4221.24</v>
      </c>
      <c r="O85">
        <f t="shared" si="3"/>
        <v>21626.53</v>
      </c>
      <c r="P85">
        <f t="shared" si="4"/>
        <v>2162.6529999999998</v>
      </c>
      <c r="Q85">
        <f t="shared" si="5"/>
        <v>21.687556643382511</v>
      </c>
    </row>
    <row r="86" spans="1:17" x14ac:dyDescent="0.3">
      <c r="A86" t="s">
        <v>202</v>
      </c>
      <c r="B86" s="2">
        <v>46083</v>
      </c>
      <c r="C86" t="s">
        <v>110</v>
      </c>
      <c r="D86" t="s">
        <v>72</v>
      </c>
      <c r="E86" t="s">
        <v>29</v>
      </c>
      <c r="F86" t="s">
        <v>49</v>
      </c>
      <c r="G86" t="s">
        <v>46</v>
      </c>
      <c r="H86" t="s">
        <v>20</v>
      </c>
      <c r="I86">
        <v>5</v>
      </c>
      <c r="J86">
        <v>13144.32</v>
      </c>
      <c r="K86">
        <v>0</v>
      </c>
      <c r="L86">
        <v>65721.600000000006</v>
      </c>
      <c r="M86">
        <v>59064.94</v>
      </c>
      <c r="N86">
        <v>6656.66</v>
      </c>
      <c r="O86">
        <f t="shared" si="3"/>
        <v>65721.600000000006</v>
      </c>
      <c r="P86">
        <f t="shared" si="4"/>
        <v>0</v>
      </c>
      <c r="Q86">
        <f t="shared" si="5"/>
        <v>10.128572645827246</v>
      </c>
    </row>
    <row r="87" spans="1:17" x14ac:dyDescent="0.3">
      <c r="A87" t="s">
        <v>203</v>
      </c>
      <c r="B87" s="2">
        <v>46023</v>
      </c>
      <c r="C87" t="s">
        <v>204</v>
      </c>
      <c r="D87" t="s">
        <v>85</v>
      </c>
      <c r="E87" t="s">
        <v>17</v>
      </c>
      <c r="F87" t="s">
        <v>41</v>
      </c>
      <c r="G87" t="s">
        <v>42</v>
      </c>
      <c r="H87" t="s">
        <v>32</v>
      </c>
      <c r="I87">
        <v>6</v>
      </c>
      <c r="J87">
        <v>14543.8</v>
      </c>
      <c r="K87">
        <v>0</v>
      </c>
      <c r="L87">
        <v>87262.8</v>
      </c>
      <c r="M87">
        <v>73264.97</v>
      </c>
      <c r="N87">
        <v>13997.83</v>
      </c>
      <c r="O87">
        <f t="shared" si="3"/>
        <v>87262.799999999988</v>
      </c>
      <c r="P87">
        <f t="shared" si="4"/>
        <v>0</v>
      </c>
      <c r="Q87">
        <f t="shared" si="5"/>
        <v>16.041004872637597</v>
      </c>
    </row>
    <row r="88" spans="1:17" x14ac:dyDescent="0.3">
      <c r="A88" t="s">
        <v>205</v>
      </c>
      <c r="B88" s="2">
        <v>46095</v>
      </c>
      <c r="C88" t="s">
        <v>206</v>
      </c>
      <c r="D88" t="s">
        <v>72</v>
      </c>
      <c r="E88" t="s">
        <v>29</v>
      </c>
      <c r="F88" t="s">
        <v>41</v>
      </c>
      <c r="G88" t="s">
        <v>42</v>
      </c>
      <c r="H88" t="s">
        <v>103</v>
      </c>
      <c r="I88">
        <v>6</v>
      </c>
      <c r="J88">
        <v>17547.490000000002</v>
      </c>
      <c r="K88">
        <v>0</v>
      </c>
      <c r="L88">
        <v>105284.94</v>
      </c>
      <c r="M88">
        <v>83719.490000000005</v>
      </c>
      <c r="N88">
        <v>21565.45</v>
      </c>
      <c r="O88">
        <f t="shared" si="3"/>
        <v>105284.94</v>
      </c>
      <c r="P88">
        <f t="shared" si="4"/>
        <v>0</v>
      </c>
      <c r="Q88">
        <f t="shared" si="5"/>
        <v>20.482938965439882</v>
      </c>
    </row>
    <row r="89" spans="1:17" x14ac:dyDescent="0.3">
      <c r="A89" t="s">
        <v>207</v>
      </c>
      <c r="B89" s="2">
        <v>46083</v>
      </c>
      <c r="C89" t="s">
        <v>142</v>
      </c>
      <c r="D89" t="s">
        <v>89</v>
      </c>
      <c r="E89" t="s">
        <v>90</v>
      </c>
      <c r="F89" t="s">
        <v>37</v>
      </c>
      <c r="G89" t="s">
        <v>31</v>
      </c>
      <c r="H89" t="s">
        <v>54</v>
      </c>
      <c r="I89">
        <v>1</v>
      </c>
      <c r="J89">
        <v>8880.56</v>
      </c>
      <c r="K89">
        <v>0.05</v>
      </c>
      <c r="L89">
        <v>8436.5300000000007</v>
      </c>
      <c r="M89">
        <v>6256.95</v>
      </c>
      <c r="N89">
        <v>2179.58</v>
      </c>
      <c r="O89">
        <f t="shared" si="3"/>
        <v>8880.56</v>
      </c>
      <c r="P89">
        <f t="shared" si="4"/>
        <v>444.02800000000002</v>
      </c>
      <c r="Q89">
        <f t="shared" si="5"/>
        <v>25.835029330779356</v>
      </c>
    </row>
    <row r="90" spans="1:17" x14ac:dyDescent="0.3">
      <c r="A90" t="s">
        <v>208</v>
      </c>
      <c r="B90" s="2">
        <v>46078</v>
      </c>
      <c r="C90" t="s">
        <v>52</v>
      </c>
      <c r="D90" t="s">
        <v>113</v>
      </c>
      <c r="E90" t="s">
        <v>17</v>
      </c>
      <c r="F90" t="s">
        <v>37</v>
      </c>
      <c r="G90" t="s">
        <v>31</v>
      </c>
      <c r="H90" t="s">
        <v>32</v>
      </c>
      <c r="I90">
        <v>6</v>
      </c>
      <c r="J90">
        <v>7959.62</v>
      </c>
      <c r="K90">
        <v>0.05</v>
      </c>
      <c r="L90">
        <v>45369.83</v>
      </c>
      <c r="M90">
        <v>34948.54</v>
      </c>
      <c r="N90">
        <v>10421.290000000001</v>
      </c>
      <c r="O90">
        <f t="shared" si="3"/>
        <v>47757.72</v>
      </c>
      <c r="P90">
        <f t="shared" si="4"/>
        <v>2387.886</v>
      </c>
      <c r="Q90">
        <f t="shared" si="5"/>
        <v>22.969647450739846</v>
      </c>
    </row>
    <row r="91" spans="1:17" x14ac:dyDescent="0.3">
      <c r="A91" t="s">
        <v>209</v>
      </c>
      <c r="B91" s="2">
        <v>46029</v>
      </c>
      <c r="C91" t="s">
        <v>22</v>
      </c>
      <c r="D91" t="s">
        <v>106</v>
      </c>
      <c r="E91" t="s">
        <v>90</v>
      </c>
      <c r="F91" t="s">
        <v>57</v>
      </c>
      <c r="G91" t="s">
        <v>19</v>
      </c>
      <c r="H91" t="s">
        <v>32</v>
      </c>
      <c r="I91">
        <v>7</v>
      </c>
      <c r="J91">
        <v>13698.52</v>
      </c>
      <c r="K91">
        <v>0</v>
      </c>
      <c r="L91">
        <v>95889.64</v>
      </c>
      <c r="M91">
        <v>68650.67</v>
      </c>
      <c r="N91">
        <v>27238.97</v>
      </c>
      <c r="O91">
        <f t="shared" si="3"/>
        <v>95889.64</v>
      </c>
      <c r="P91">
        <f t="shared" si="4"/>
        <v>0</v>
      </c>
      <c r="Q91">
        <f t="shared" si="5"/>
        <v>28.406582817497284</v>
      </c>
    </row>
    <row r="92" spans="1:17" x14ac:dyDescent="0.3">
      <c r="A92" t="s">
        <v>210</v>
      </c>
      <c r="B92" s="2">
        <v>46037</v>
      </c>
      <c r="C92" t="s">
        <v>211</v>
      </c>
      <c r="D92" t="s">
        <v>62</v>
      </c>
      <c r="E92" t="s">
        <v>24</v>
      </c>
      <c r="F92" t="s">
        <v>57</v>
      </c>
      <c r="G92" t="s">
        <v>19</v>
      </c>
      <c r="H92" t="s">
        <v>25</v>
      </c>
      <c r="I92">
        <v>2</v>
      </c>
      <c r="J92">
        <v>11413.83</v>
      </c>
      <c r="K92">
        <v>0.05</v>
      </c>
      <c r="L92">
        <v>21686.28</v>
      </c>
      <c r="M92">
        <v>15594.92</v>
      </c>
      <c r="N92">
        <v>6091.36</v>
      </c>
      <c r="O92">
        <f t="shared" si="3"/>
        <v>22827.66</v>
      </c>
      <c r="P92">
        <f t="shared" si="4"/>
        <v>1141.383</v>
      </c>
      <c r="Q92">
        <f t="shared" si="5"/>
        <v>28.088542617728812</v>
      </c>
    </row>
    <row r="93" spans="1:17" x14ac:dyDescent="0.3">
      <c r="A93" t="s">
        <v>212</v>
      </c>
      <c r="B93" s="2">
        <v>46148</v>
      </c>
      <c r="C93" t="s">
        <v>213</v>
      </c>
      <c r="D93" t="s">
        <v>28</v>
      </c>
      <c r="E93" t="s">
        <v>29</v>
      </c>
      <c r="F93" t="s">
        <v>41</v>
      </c>
      <c r="G93" t="s">
        <v>42</v>
      </c>
      <c r="H93" t="s">
        <v>25</v>
      </c>
      <c r="I93">
        <v>4</v>
      </c>
      <c r="J93">
        <v>27372.65</v>
      </c>
      <c r="K93">
        <v>0.05</v>
      </c>
      <c r="L93">
        <v>104016.07</v>
      </c>
      <c r="M93">
        <v>89182.080000000002</v>
      </c>
      <c r="N93">
        <v>14833.99</v>
      </c>
      <c r="O93">
        <f t="shared" si="3"/>
        <v>109490.6</v>
      </c>
      <c r="P93">
        <f t="shared" si="4"/>
        <v>5474.5300000000007</v>
      </c>
      <c r="Q93">
        <f t="shared" si="5"/>
        <v>14.261248285961967</v>
      </c>
    </row>
    <row r="94" spans="1:17" x14ac:dyDescent="0.3">
      <c r="A94" t="s">
        <v>214</v>
      </c>
      <c r="B94" s="2">
        <v>46133</v>
      </c>
      <c r="C94" t="s">
        <v>151</v>
      </c>
      <c r="D94" t="s">
        <v>16</v>
      </c>
      <c r="E94" t="s">
        <v>17</v>
      </c>
      <c r="F94" t="s">
        <v>53</v>
      </c>
      <c r="G94" t="s">
        <v>46</v>
      </c>
      <c r="H94" t="s">
        <v>50</v>
      </c>
      <c r="I94">
        <v>1</v>
      </c>
      <c r="J94">
        <v>24257.87</v>
      </c>
      <c r="K94">
        <v>0.05</v>
      </c>
      <c r="L94">
        <v>23044.98</v>
      </c>
      <c r="M94">
        <v>19867.599999999999</v>
      </c>
      <c r="N94">
        <v>3177.38</v>
      </c>
      <c r="O94">
        <f t="shared" si="3"/>
        <v>24257.87</v>
      </c>
      <c r="P94">
        <f t="shared" si="4"/>
        <v>1212.8934999999999</v>
      </c>
      <c r="Q94">
        <f t="shared" si="5"/>
        <v>13.787731644809412</v>
      </c>
    </row>
    <row r="95" spans="1:17" x14ac:dyDescent="0.3">
      <c r="A95" t="s">
        <v>215</v>
      </c>
      <c r="B95" s="2">
        <v>46202</v>
      </c>
      <c r="C95" t="s">
        <v>216</v>
      </c>
      <c r="D95" t="s">
        <v>72</v>
      </c>
      <c r="E95" t="s">
        <v>29</v>
      </c>
      <c r="F95" t="s">
        <v>45</v>
      </c>
      <c r="G95" t="s">
        <v>46</v>
      </c>
      <c r="H95" t="s">
        <v>20</v>
      </c>
      <c r="I95">
        <v>3</v>
      </c>
      <c r="J95">
        <v>27217.66</v>
      </c>
      <c r="K95">
        <v>0.15</v>
      </c>
      <c r="L95">
        <v>69405.03</v>
      </c>
      <c r="M95">
        <v>61456.78</v>
      </c>
      <c r="N95">
        <v>7948.25</v>
      </c>
      <c r="O95">
        <f t="shared" si="3"/>
        <v>81652.98</v>
      </c>
      <c r="P95">
        <f t="shared" si="4"/>
        <v>12247.946999999998</v>
      </c>
      <c r="Q95">
        <f t="shared" si="5"/>
        <v>11.451979777258218</v>
      </c>
    </row>
    <row r="96" spans="1:17" x14ac:dyDescent="0.3">
      <c r="A96" t="s">
        <v>217</v>
      </c>
      <c r="B96" s="2">
        <v>46172</v>
      </c>
      <c r="C96" t="s">
        <v>218</v>
      </c>
      <c r="D96" t="s">
        <v>85</v>
      </c>
      <c r="E96" t="s">
        <v>17</v>
      </c>
      <c r="F96" t="s">
        <v>53</v>
      </c>
      <c r="G96" t="s">
        <v>46</v>
      </c>
      <c r="H96" t="s">
        <v>54</v>
      </c>
      <c r="I96">
        <v>4</v>
      </c>
      <c r="J96">
        <v>18499.28</v>
      </c>
      <c r="K96">
        <v>0.1</v>
      </c>
      <c r="L96">
        <v>66597.41</v>
      </c>
      <c r="M96">
        <v>59352.36</v>
      </c>
      <c r="N96">
        <v>7245.05</v>
      </c>
      <c r="O96">
        <f t="shared" si="3"/>
        <v>73997.119999999995</v>
      </c>
      <c r="P96">
        <f t="shared" si="4"/>
        <v>7399.7119999999995</v>
      </c>
      <c r="Q96">
        <f t="shared" si="5"/>
        <v>10.878876520873709</v>
      </c>
    </row>
    <row r="97" spans="1:17" x14ac:dyDescent="0.3">
      <c r="A97" t="s">
        <v>219</v>
      </c>
      <c r="B97" s="2">
        <v>46174</v>
      </c>
      <c r="C97" t="s">
        <v>220</v>
      </c>
      <c r="D97" t="s">
        <v>126</v>
      </c>
      <c r="E97" t="s">
        <v>24</v>
      </c>
      <c r="F97" t="s">
        <v>41</v>
      </c>
      <c r="G97" t="s">
        <v>42</v>
      </c>
      <c r="H97" t="s">
        <v>25</v>
      </c>
      <c r="I97">
        <v>3</v>
      </c>
      <c r="J97">
        <v>7925.61</v>
      </c>
      <c r="K97">
        <v>0</v>
      </c>
      <c r="L97">
        <v>23776.83</v>
      </c>
      <c r="M97">
        <v>19410.560000000001</v>
      </c>
      <c r="N97">
        <v>4366.2700000000004</v>
      </c>
      <c r="O97">
        <f t="shared" si="3"/>
        <v>23776.829999999998</v>
      </c>
      <c r="P97">
        <f t="shared" si="4"/>
        <v>0</v>
      </c>
      <c r="Q97">
        <f t="shared" si="5"/>
        <v>18.363549724668932</v>
      </c>
    </row>
    <row r="98" spans="1:17" x14ac:dyDescent="0.3">
      <c r="A98" t="s">
        <v>221</v>
      </c>
      <c r="B98" s="2">
        <v>46242</v>
      </c>
      <c r="C98" t="s">
        <v>76</v>
      </c>
      <c r="D98" t="s">
        <v>102</v>
      </c>
      <c r="E98" t="s">
        <v>29</v>
      </c>
      <c r="F98" t="s">
        <v>79</v>
      </c>
      <c r="G98" t="s">
        <v>31</v>
      </c>
      <c r="H98" t="s">
        <v>69</v>
      </c>
      <c r="I98">
        <v>6</v>
      </c>
      <c r="J98">
        <v>1257.24</v>
      </c>
      <c r="K98">
        <v>0</v>
      </c>
      <c r="L98">
        <v>7543.44</v>
      </c>
      <c r="M98">
        <v>6470.65</v>
      </c>
      <c r="N98">
        <v>1072.79</v>
      </c>
      <c r="O98">
        <f t="shared" si="3"/>
        <v>7543.4400000000005</v>
      </c>
      <c r="P98">
        <f t="shared" si="4"/>
        <v>0</v>
      </c>
      <c r="Q98">
        <f t="shared" si="5"/>
        <v>14.221495763206176</v>
      </c>
    </row>
    <row r="99" spans="1:17" x14ac:dyDescent="0.3">
      <c r="A99" t="s">
        <v>222</v>
      </c>
      <c r="B99" s="2">
        <v>46216</v>
      </c>
      <c r="C99" t="s">
        <v>199</v>
      </c>
      <c r="D99" t="s">
        <v>35</v>
      </c>
      <c r="E99" t="s">
        <v>36</v>
      </c>
      <c r="F99" t="s">
        <v>18</v>
      </c>
      <c r="G99" t="s">
        <v>19</v>
      </c>
      <c r="H99" t="s">
        <v>38</v>
      </c>
      <c r="I99">
        <v>5</v>
      </c>
      <c r="J99">
        <v>17009.009999999998</v>
      </c>
      <c r="K99">
        <v>0.1</v>
      </c>
      <c r="L99">
        <v>76540.539999999994</v>
      </c>
      <c r="M99">
        <v>62576.08</v>
      </c>
      <c r="N99">
        <v>13964.46</v>
      </c>
      <c r="O99">
        <f t="shared" si="3"/>
        <v>85045.049999999988</v>
      </c>
      <c r="P99">
        <f t="shared" si="4"/>
        <v>8504.5049999999992</v>
      </c>
      <c r="Q99">
        <f t="shared" si="5"/>
        <v>18.244527671218417</v>
      </c>
    </row>
    <row r="100" spans="1:17" x14ac:dyDescent="0.3">
      <c r="A100" t="s">
        <v>223</v>
      </c>
      <c r="B100" s="2">
        <v>46234</v>
      </c>
      <c r="C100" t="s">
        <v>22</v>
      </c>
      <c r="D100" t="s">
        <v>89</v>
      </c>
      <c r="E100" t="s">
        <v>90</v>
      </c>
      <c r="F100" t="s">
        <v>79</v>
      </c>
      <c r="G100" t="s">
        <v>31</v>
      </c>
      <c r="H100" t="s">
        <v>20</v>
      </c>
      <c r="I100">
        <v>7</v>
      </c>
      <c r="J100">
        <v>3818.03</v>
      </c>
      <c r="K100">
        <v>0.05</v>
      </c>
      <c r="L100">
        <v>25389.9</v>
      </c>
      <c r="M100">
        <v>19808.91</v>
      </c>
      <c r="N100">
        <v>5580.99</v>
      </c>
      <c r="O100">
        <f t="shared" si="3"/>
        <v>26726.210000000003</v>
      </c>
      <c r="P100">
        <f t="shared" si="4"/>
        <v>1336.3105000000003</v>
      </c>
      <c r="Q100">
        <f t="shared" si="5"/>
        <v>21.981142107688491</v>
      </c>
    </row>
    <row r="101" spans="1:17" x14ac:dyDescent="0.3">
      <c r="A101" t="s">
        <v>224</v>
      </c>
      <c r="B101" s="2">
        <v>46161</v>
      </c>
      <c r="C101" t="s">
        <v>184</v>
      </c>
      <c r="D101" t="s">
        <v>35</v>
      </c>
      <c r="E101" t="s">
        <v>36</v>
      </c>
      <c r="F101" t="s">
        <v>79</v>
      </c>
      <c r="G101" t="s">
        <v>31</v>
      </c>
      <c r="H101" t="s">
        <v>20</v>
      </c>
      <c r="I101">
        <v>3</v>
      </c>
      <c r="J101">
        <v>4662.9399999999996</v>
      </c>
      <c r="K101">
        <v>0</v>
      </c>
      <c r="L101">
        <v>13988.82</v>
      </c>
      <c r="M101">
        <v>11698.03</v>
      </c>
      <c r="N101">
        <v>2290.79</v>
      </c>
      <c r="O101">
        <f t="shared" si="3"/>
        <v>13988.82</v>
      </c>
      <c r="P101">
        <f t="shared" si="4"/>
        <v>0</v>
      </c>
      <c r="Q101">
        <f t="shared" si="5"/>
        <v>16.375863010604181</v>
      </c>
    </row>
    <row r="102" spans="1:17" x14ac:dyDescent="0.3">
      <c r="A102" t="s">
        <v>225</v>
      </c>
      <c r="B102" s="2">
        <v>46160</v>
      </c>
      <c r="C102" t="s">
        <v>226</v>
      </c>
      <c r="D102" t="s">
        <v>28</v>
      </c>
      <c r="E102" t="s">
        <v>29</v>
      </c>
      <c r="F102" t="s">
        <v>45</v>
      </c>
      <c r="G102" t="s">
        <v>46</v>
      </c>
      <c r="H102" t="s">
        <v>69</v>
      </c>
      <c r="I102">
        <v>2</v>
      </c>
      <c r="J102">
        <v>31117.69</v>
      </c>
      <c r="K102">
        <v>0</v>
      </c>
      <c r="L102">
        <v>62235.38</v>
      </c>
      <c r="M102">
        <v>57723.67</v>
      </c>
      <c r="N102">
        <v>4511.71</v>
      </c>
      <c r="O102">
        <f t="shared" si="3"/>
        <v>62235.38</v>
      </c>
      <c r="P102">
        <f t="shared" si="4"/>
        <v>0</v>
      </c>
      <c r="Q102">
        <f t="shared" si="5"/>
        <v>7.2494295045679804</v>
      </c>
    </row>
    <row r="103" spans="1:17" x14ac:dyDescent="0.3">
      <c r="A103" t="s">
        <v>227</v>
      </c>
      <c r="B103" s="2">
        <v>46287</v>
      </c>
      <c r="C103" t="s">
        <v>76</v>
      </c>
      <c r="D103" t="s">
        <v>102</v>
      </c>
      <c r="E103" t="s">
        <v>29</v>
      </c>
      <c r="F103" t="s">
        <v>18</v>
      </c>
      <c r="G103" t="s">
        <v>19</v>
      </c>
      <c r="H103" t="s">
        <v>38</v>
      </c>
      <c r="I103">
        <v>3</v>
      </c>
      <c r="J103">
        <v>19728.14</v>
      </c>
      <c r="K103">
        <v>0</v>
      </c>
      <c r="L103">
        <v>59184.42</v>
      </c>
      <c r="M103">
        <v>43113.279999999999</v>
      </c>
      <c r="N103">
        <v>16071.14</v>
      </c>
      <c r="O103">
        <f t="shared" si="3"/>
        <v>59184.42</v>
      </c>
      <c r="P103">
        <f t="shared" si="4"/>
        <v>0</v>
      </c>
      <c r="Q103">
        <f t="shared" si="5"/>
        <v>27.15434230833047</v>
      </c>
    </row>
    <row r="104" spans="1:17" x14ac:dyDescent="0.3">
      <c r="A104" t="s">
        <v>228</v>
      </c>
      <c r="B104" s="2">
        <v>46258</v>
      </c>
      <c r="C104" t="s">
        <v>229</v>
      </c>
      <c r="D104" t="s">
        <v>123</v>
      </c>
      <c r="E104" t="s">
        <v>90</v>
      </c>
      <c r="F104" t="s">
        <v>30</v>
      </c>
      <c r="G104" t="s">
        <v>31</v>
      </c>
      <c r="H104" t="s">
        <v>103</v>
      </c>
      <c r="I104">
        <v>1</v>
      </c>
      <c r="J104">
        <v>3869.64</v>
      </c>
      <c r="K104">
        <v>0</v>
      </c>
      <c r="L104">
        <v>3869.64</v>
      </c>
      <c r="M104">
        <v>3098.42</v>
      </c>
      <c r="N104">
        <v>771.22</v>
      </c>
      <c r="O104">
        <f t="shared" si="3"/>
        <v>3869.64</v>
      </c>
      <c r="P104">
        <f t="shared" si="4"/>
        <v>0</v>
      </c>
      <c r="Q104">
        <f t="shared" si="5"/>
        <v>19.93001932996351</v>
      </c>
    </row>
    <row r="105" spans="1:17" x14ac:dyDescent="0.3">
      <c r="A105" t="s">
        <v>230</v>
      </c>
      <c r="B105" s="2">
        <v>46082</v>
      </c>
      <c r="C105" t="s">
        <v>231</v>
      </c>
      <c r="D105" t="s">
        <v>108</v>
      </c>
      <c r="E105" t="s">
        <v>36</v>
      </c>
      <c r="F105" t="s">
        <v>18</v>
      </c>
      <c r="G105" t="s">
        <v>19</v>
      </c>
      <c r="H105" t="s">
        <v>32</v>
      </c>
      <c r="I105">
        <v>5</v>
      </c>
      <c r="J105">
        <v>24386.76</v>
      </c>
      <c r="K105">
        <v>0</v>
      </c>
      <c r="L105">
        <v>121933.8</v>
      </c>
      <c r="M105">
        <v>100029.77</v>
      </c>
      <c r="N105">
        <v>21904.03</v>
      </c>
      <c r="O105">
        <f t="shared" si="3"/>
        <v>121933.79999999999</v>
      </c>
      <c r="P105">
        <f t="shared" si="4"/>
        <v>0</v>
      </c>
      <c r="Q105">
        <f t="shared" si="5"/>
        <v>17.963870559270685</v>
      </c>
    </row>
    <row r="106" spans="1:17" x14ac:dyDescent="0.3">
      <c r="A106" t="s">
        <v>232</v>
      </c>
      <c r="B106" s="2">
        <v>46100</v>
      </c>
      <c r="C106" t="s">
        <v>122</v>
      </c>
      <c r="D106" t="s">
        <v>72</v>
      </c>
      <c r="E106" t="s">
        <v>29</v>
      </c>
      <c r="F106" t="s">
        <v>79</v>
      </c>
      <c r="G106" t="s">
        <v>31</v>
      </c>
      <c r="H106" t="s">
        <v>103</v>
      </c>
      <c r="I106">
        <v>2</v>
      </c>
      <c r="J106">
        <v>4614.92</v>
      </c>
      <c r="K106">
        <v>0</v>
      </c>
      <c r="L106">
        <v>9229.84</v>
      </c>
      <c r="M106">
        <v>7142.44</v>
      </c>
      <c r="N106">
        <v>2087.4</v>
      </c>
      <c r="O106">
        <f t="shared" si="3"/>
        <v>9229.84</v>
      </c>
      <c r="P106">
        <f t="shared" si="4"/>
        <v>0</v>
      </c>
      <c r="Q106">
        <f t="shared" si="5"/>
        <v>22.615776654849924</v>
      </c>
    </row>
    <row r="107" spans="1:17" x14ac:dyDescent="0.3">
      <c r="A107" t="s">
        <v>233</v>
      </c>
      <c r="B107" s="2">
        <v>46036</v>
      </c>
      <c r="C107" t="s">
        <v>131</v>
      </c>
      <c r="D107" t="s">
        <v>106</v>
      </c>
      <c r="E107" t="s">
        <v>90</v>
      </c>
      <c r="F107" t="s">
        <v>53</v>
      </c>
      <c r="G107" t="s">
        <v>46</v>
      </c>
      <c r="H107" t="s">
        <v>103</v>
      </c>
      <c r="I107">
        <v>7</v>
      </c>
      <c r="J107">
        <v>23034.31</v>
      </c>
      <c r="K107">
        <v>0.05</v>
      </c>
      <c r="L107">
        <v>153178.16</v>
      </c>
      <c r="M107">
        <v>134303.35</v>
      </c>
      <c r="N107">
        <v>18874.810000000001</v>
      </c>
      <c r="O107">
        <f t="shared" si="3"/>
        <v>161240.17000000001</v>
      </c>
      <c r="P107">
        <f t="shared" si="4"/>
        <v>8062.0085000000008</v>
      </c>
      <c r="Q107">
        <f t="shared" si="5"/>
        <v>12.322128689886339</v>
      </c>
    </row>
    <row r="108" spans="1:17" x14ac:dyDescent="0.3">
      <c r="A108" t="s">
        <v>234</v>
      </c>
      <c r="B108" s="2">
        <v>46126</v>
      </c>
      <c r="C108" t="s">
        <v>235</v>
      </c>
      <c r="D108" t="s">
        <v>106</v>
      </c>
      <c r="E108" t="s">
        <v>90</v>
      </c>
      <c r="F108" t="s">
        <v>57</v>
      </c>
      <c r="G108" t="s">
        <v>19</v>
      </c>
      <c r="H108" t="s">
        <v>103</v>
      </c>
      <c r="I108">
        <v>6</v>
      </c>
      <c r="J108">
        <v>6987.27</v>
      </c>
      <c r="K108">
        <v>0</v>
      </c>
      <c r="L108">
        <v>41923.620000000003</v>
      </c>
      <c r="M108">
        <v>30702.1</v>
      </c>
      <c r="N108">
        <v>11221.52</v>
      </c>
      <c r="O108">
        <f t="shared" si="3"/>
        <v>41923.620000000003</v>
      </c>
      <c r="P108">
        <f t="shared" si="4"/>
        <v>0</v>
      </c>
      <c r="Q108">
        <f t="shared" si="5"/>
        <v>26.766581702629686</v>
      </c>
    </row>
    <row r="109" spans="1:17" x14ac:dyDescent="0.3">
      <c r="A109" t="s">
        <v>236</v>
      </c>
      <c r="B109" s="2">
        <v>46037</v>
      </c>
      <c r="C109" t="s">
        <v>237</v>
      </c>
      <c r="D109" t="s">
        <v>35</v>
      </c>
      <c r="E109" t="s">
        <v>36</v>
      </c>
      <c r="F109" t="s">
        <v>86</v>
      </c>
      <c r="G109" t="s">
        <v>46</v>
      </c>
      <c r="H109" t="s">
        <v>20</v>
      </c>
      <c r="I109">
        <v>7</v>
      </c>
      <c r="J109">
        <v>66338.44</v>
      </c>
      <c r="K109">
        <v>0.05</v>
      </c>
      <c r="L109">
        <v>441150.63</v>
      </c>
      <c r="M109">
        <v>361845.31</v>
      </c>
      <c r="N109">
        <v>79305.320000000007</v>
      </c>
      <c r="O109">
        <f t="shared" si="3"/>
        <v>464369.08</v>
      </c>
      <c r="P109">
        <f t="shared" si="4"/>
        <v>23218.454000000002</v>
      </c>
      <c r="Q109">
        <f t="shared" si="5"/>
        <v>17.976925477812422</v>
      </c>
    </row>
    <row r="110" spans="1:17" x14ac:dyDescent="0.3">
      <c r="A110" t="s">
        <v>238</v>
      </c>
      <c r="B110" s="2">
        <v>46276</v>
      </c>
      <c r="C110" t="s">
        <v>22</v>
      </c>
      <c r="D110" t="s">
        <v>16</v>
      </c>
      <c r="E110" t="s">
        <v>17</v>
      </c>
      <c r="F110" t="s">
        <v>53</v>
      </c>
      <c r="G110" t="s">
        <v>46</v>
      </c>
      <c r="H110" t="s">
        <v>20</v>
      </c>
      <c r="I110">
        <v>5</v>
      </c>
      <c r="J110">
        <v>27565.67</v>
      </c>
      <c r="K110">
        <v>0.1</v>
      </c>
      <c r="L110">
        <v>124045.51</v>
      </c>
      <c r="M110">
        <v>107397.59</v>
      </c>
      <c r="N110">
        <v>16647.919999999998</v>
      </c>
      <c r="O110">
        <f t="shared" si="3"/>
        <v>137828.34999999998</v>
      </c>
      <c r="P110">
        <f t="shared" si="4"/>
        <v>13782.834999999999</v>
      </c>
      <c r="Q110">
        <f t="shared" si="5"/>
        <v>13.420816279444537</v>
      </c>
    </row>
    <row r="111" spans="1:17" x14ac:dyDescent="0.3">
      <c r="A111" t="s">
        <v>239</v>
      </c>
      <c r="B111" s="2">
        <v>46181</v>
      </c>
      <c r="C111" t="s">
        <v>231</v>
      </c>
      <c r="D111" t="s">
        <v>35</v>
      </c>
      <c r="E111" t="s">
        <v>36</v>
      </c>
      <c r="F111" t="s">
        <v>79</v>
      </c>
      <c r="G111" t="s">
        <v>31</v>
      </c>
      <c r="H111" t="s">
        <v>20</v>
      </c>
      <c r="I111">
        <v>4</v>
      </c>
      <c r="J111">
        <v>6135.6</v>
      </c>
      <c r="K111">
        <v>0</v>
      </c>
      <c r="L111">
        <v>24542.400000000001</v>
      </c>
      <c r="M111">
        <v>19053.53</v>
      </c>
      <c r="N111">
        <v>5488.87</v>
      </c>
      <c r="O111">
        <f t="shared" si="3"/>
        <v>24542.400000000001</v>
      </c>
      <c r="P111">
        <f t="shared" si="4"/>
        <v>0</v>
      </c>
      <c r="Q111">
        <f t="shared" si="5"/>
        <v>22.364846143816415</v>
      </c>
    </row>
    <row r="112" spans="1:17" x14ac:dyDescent="0.3">
      <c r="A112" t="s">
        <v>240</v>
      </c>
      <c r="B112" s="2">
        <v>46069</v>
      </c>
      <c r="C112" t="s">
        <v>241</v>
      </c>
      <c r="D112" t="s">
        <v>16</v>
      </c>
      <c r="E112" t="s">
        <v>17</v>
      </c>
      <c r="F112" t="s">
        <v>45</v>
      </c>
      <c r="G112" t="s">
        <v>46</v>
      </c>
      <c r="H112" t="s">
        <v>32</v>
      </c>
      <c r="I112">
        <v>3</v>
      </c>
      <c r="J112">
        <v>15610.15</v>
      </c>
      <c r="K112">
        <v>0.05</v>
      </c>
      <c r="L112">
        <v>44488.93</v>
      </c>
      <c r="M112">
        <v>39646.519999999997</v>
      </c>
      <c r="N112">
        <v>4842.41</v>
      </c>
      <c r="O112">
        <f t="shared" si="3"/>
        <v>46830.45</v>
      </c>
      <c r="P112">
        <f t="shared" si="4"/>
        <v>2341.5225</v>
      </c>
      <c r="Q112">
        <f t="shared" si="5"/>
        <v>10.884527903907781</v>
      </c>
    </row>
    <row r="113" spans="1:17" x14ac:dyDescent="0.3">
      <c r="A113" t="s">
        <v>242</v>
      </c>
      <c r="B113" s="2">
        <v>46091</v>
      </c>
      <c r="C113" t="s">
        <v>116</v>
      </c>
      <c r="D113" t="s">
        <v>16</v>
      </c>
      <c r="E113" t="s">
        <v>17</v>
      </c>
      <c r="F113" t="s">
        <v>37</v>
      </c>
      <c r="G113" t="s">
        <v>31</v>
      </c>
      <c r="H113" t="s">
        <v>32</v>
      </c>
      <c r="I113">
        <v>6</v>
      </c>
      <c r="J113">
        <v>4411.46</v>
      </c>
      <c r="K113">
        <v>0</v>
      </c>
      <c r="L113">
        <v>26468.76</v>
      </c>
      <c r="M113">
        <v>21295.69</v>
      </c>
      <c r="N113">
        <v>5173.07</v>
      </c>
      <c r="O113">
        <f t="shared" si="3"/>
        <v>26468.760000000002</v>
      </c>
      <c r="P113">
        <f t="shared" si="4"/>
        <v>0</v>
      </c>
      <c r="Q113">
        <f t="shared" si="5"/>
        <v>19.544058731878639</v>
      </c>
    </row>
    <row r="114" spans="1:17" x14ac:dyDescent="0.3">
      <c r="A114" t="s">
        <v>243</v>
      </c>
      <c r="B114" s="2">
        <v>46240</v>
      </c>
      <c r="C114" t="s">
        <v>144</v>
      </c>
      <c r="D114" t="s">
        <v>108</v>
      </c>
      <c r="E114" t="s">
        <v>36</v>
      </c>
      <c r="F114" t="s">
        <v>18</v>
      </c>
      <c r="G114" t="s">
        <v>19</v>
      </c>
      <c r="H114" t="s">
        <v>103</v>
      </c>
      <c r="I114">
        <v>1</v>
      </c>
      <c r="J114">
        <v>17623.66</v>
      </c>
      <c r="K114">
        <v>0</v>
      </c>
      <c r="L114">
        <v>17623.66</v>
      </c>
      <c r="M114">
        <v>13268.3</v>
      </c>
      <c r="N114">
        <v>4355.3599999999997</v>
      </c>
      <c r="O114">
        <f t="shared" si="3"/>
        <v>17623.66</v>
      </c>
      <c r="P114">
        <f t="shared" si="4"/>
        <v>0</v>
      </c>
      <c r="Q114">
        <f t="shared" si="5"/>
        <v>24.713141311169188</v>
      </c>
    </row>
    <row r="115" spans="1:17" x14ac:dyDescent="0.3">
      <c r="A115" t="s">
        <v>244</v>
      </c>
      <c r="B115" s="2">
        <v>46155</v>
      </c>
      <c r="C115" t="s">
        <v>245</v>
      </c>
      <c r="D115" t="s">
        <v>23</v>
      </c>
      <c r="E115" t="s">
        <v>24</v>
      </c>
      <c r="F115" t="s">
        <v>30</v>
      </c>
      <c r="G115" t="s">
        <v>31</v>
      </c>
      <c r="H115" t="s">
        <v>50</v>
      </c>
      <c r="I115">
        <v>2</v>
      </c>
      <c r="J115">
        <v>3770.4</v>
      </c>
      <c r="K115">
        <v>0.1</v>
      </c>
      <c r="L115">
        <v>6786.72</v>
      </c>
      <c r="M115">
        <v>5438.36</v>
      </c>
      <c r="N115">
        <v>1348.36</v>
      </c>
      <c r="O115">
        <f t="shared" si="3"/>
        <v>7540.8</v>
      </c>
      <c r="P115">
        <f t="shared" si="4"/>
        <v>754.08</v>
      </c>
      <c r="Q115">
        <f t="shared" si="5"/>
        <v>19.867623830068133</v>
      </c>
    </row>
    <row r="116" spans="1:17" x14ac:dyDescent="0.3">
      <c r="A116" t="s">
        <v>246</v>
      </c>
      <c r="B116" s="2">
        <v>46073</v>
      </c>
      <c r="C116" t="s">
        <v>247</v>
      </c>
      <c r="D116" t="s">
        <v>108</v>
      </c>
      <c r="E116" t="s">
        <v>36</v>
      </c>
      <c r="F116" t="s">
        <v>18</v>
      </c>
      <c r="G116" t="s">
        <v>19</v>
      </c>
      <c r="H116" t="s">
        <v>25</v>
      </c>
      <c r="I116">
        <v>3</v>
      </c>
      <c r="J116">
        <v>24649.23</v>
      </c>
      <c r="K116">
        <v>0.05</v>
      </c>
      <c r="L116">
        <v>70250.31</v>
      </c>
      <c r="M116">
        <v>58055.66</v>
      </c>
      <c r="N116">
        <v>12194.65</v>
      </c>
      <c r="O116">
        <f t="shared" si="3"/>
        <v>73947.69</v>
      </c>
      <c r="P116">
        <f t="shared" si="4"/>
        <v>3697.3845000000001</v>
      </c>
      <c r="Q116">
        <f t="shared" si="5"/>
        <v>17.35885578298516</v>
      </c>
    </row>
    <row r="117" spans="1:17" x14ac:dyDescent="0.3">
      <c r="A117" t="s">
        <v>248</v>
      </c>
      <c r="B117" s="2">
        <v>46132</v>
      </c>
      <c r="C117" t="s">
        <v>74</v>
      </c>
      <c r="D117" t="s">
        <v>16</v>
      </c>
      <c r="E117" t="s">
        <v>17</v>
      </c>
      <c r="F117" t="s">
        <v>53</v>
      </c>
      <c r="G117" t="s">
        <v>46</v>
      </c>
      <c r="H117" t="s">
        <v>20</v>
      </c>
      <c r="I117">
        <v>1</v>
      </c>
      <c r="J117">
        <v>30774.76</v>
      </c>
      <c r="K117">
        <v>0.1</v>
      </c>
      <c r="L117">
        <v>27697.279999999999</v>
      </c>
      <c r="M117">
        <v>23490.51</v>
      </c>
      <c r="N117">
        <v>4206.7700000000004</v>
      </c>
      <c r="O117">
        <f t="shared" si="3"/>
        <v>30774.76</v>
      </c>
      <c r="P117">
        <f t="shared" si="4"/>
        <v>3077.4760000000001</v>
      </c>
      <c r="Q117">
        <f t="shared" si="5"/>
        <v>15.188386729671652</v>
      </c>
    </row>
    <row r="118" spans="1:17" x14ac:dyDescent="0.3">
      <c r="A118" t="s">
        <v>249</v>
      </c>
      <c r="B118" s="2">
        <v>46159</v>
      </c>
      <c r="C118" t="s">
        <v>250</v>
      </c>
      <c r="D118" t="s">
        <v>72</v>
      </c>
      <c r="E118" t="s">
        <v>29</v>
      </c>
      <c r="F118" t="s">
        <v>79</v>
      </c>
      <c r="G118" t="s">
        <v>31</v>
      </c>
      <c r="H118" t="s">
        <v>25</v>
      </c>
      <c r="I118">
        <v>2</v>
      </c>
      <c r="J118">
        <v>9708.1299999999992</v>
      </c>
      <c r="K118">
        <v>0</v>
      </c>
      <c r="L118">
        <v>19416.259999999998</v>
      </c>
      <c r="M118">
        <v>16081.29</v>
      </c>
      <c r="N118">
        <v>3334.97</v>
      </c>
      <c r="O118">
        <f t="shared" si="3"/>
        <v>19416.259999999998</v>
      </c>
      <c r="P118">
        <f t="shared" si="4"/>
        <v>0</v>
      </c>
      <c r="Q118">
        <f t="shared" si="5"/>
        <v>17.176170900060054</v>
      </c>
    </row>
    <row r="119" spans="1:17" x14ac:dyDescent="0.3">
      <c r="A119" t="s">
        <v>251</v>
      </c>
      <c r="B119" s="2">
        <v>46097</v>
      </c>
      <c r="C119" t="s">
        <v>252</v>
      </c>
      <c r="D119" t="s">
        <v>113</v>
      </c>
      <c r="E119" t="s">
        <v>17</v>
      </c>
      <c r="F119" t="s">
        <v>45</v>
      </c>
      <c r="G119" t="s">
        <v>46</v>
      </c>
      <c r="H119" t="s">
        <v>32</v>
      </c>
      <c r="I119">
        <v>3</v>
      </c>
      <c r="J119">
        <v>38285.01</v>
      </c>
      <c r="K119">
        <v>0.05</v>
      </c>
      <c r="L119">
        <v>109112.28</v>
      </c>
      <c r="M119">
        <v>98124.72</v>
      </c>
      <c r="N119">
        <v>10987.56</v>
      </c>
      <c r="O119">
        <f t="shared" si="3"/>
        <v>114855.03</v>
      </c>
      <c r="P119">
        <f t="shared" si="4"/>
        <v>5742.7515000000003</v>
      </c>
      <c r="Q119">
        <f t="shared" si="5"/>
        <v>10.069957295365837</v>
      </c>
    </row>
    <row r="120" spans="1:17" x14ac:dyDescent="0.3">
      <c r="A120" t="s">
        <v>253</v>
      </c>
      <c r="B120" s="2">
        <v>46201</v>
      </c>
      <c r="C120" t="s">
        <v>254</v>
      </c>
      <c r="D120" t="s">
        <v>113</v>
      </c>
      <c r="E120" t="s">
        <v>17</v>
      </c>
      <c r="F120" t="s">
        <v>18</v>
      </c>
      <c r="G120" t="s">
        <v>19</v>
      </c>
      <c r="H120" t="s">
        <v>54</v>
      </c>
      <c r="I120">
        <v>4</v>
      </c>
      <c r="J120">
        <v>19130.27</v>
      </c>
      <c r="K120">
        <v>0</v>
      </c>
      <c r="L120">
        <v>76521.08</v>
      </c>
      <c r="M120">
        <v>55877.11</v>
      </c>
      <c r="N120">
        <v>20643.97</v>
      </c>
      <c r="O120">
        <f t="shared" si="3"/>
        <v>76521.08</v>
      </c>
      <c r="P120">
        <f t="shared" si="4"/>
        <v>0</v>
      </c>
      <c r="Q120">
        <f t="shared" si="5"/>
        <v>26.978147720863323</v>
      </c>
    </row>
    <row r="121" spans="1:17" x14ac:dyDescent="0.3">
      <c r="A121" t="s">
        <v>255</v>
      </c>
      <c r="B121" s="2">
        <v>46172</v>
      </c>
      <c r="C121" t="s">
        <v>101</v>
      </c>
      <c r="D121" t="s">
        <v>72</v>
      </c>
      <c r="E121" t="s">
        <v>29</v>
      </c>
      <c r="F121" t="s">
        <v>45</v>
      </c>
      <c r="G121" t="s">
        <v>46</v>
      </c>
      <c r="H121" t="s">
        <v>50</v>
      </c>
      <c r="I121">
        <v>7</v>
      </c>
      <c r="J121">
        <v>48176.87</v>
      </c>
      <c r="K121">
        <v>0.15</v>
      </c>
      <c r="L121">
        <v>286652.38</v>
      </c>
      <c r="M121">
        <v>257611.91</v>
      </c>
      <c r="N121">
        <v>29040.47</v>
      </c>
      <c r="O121">
        <f t="shared" si="3"/>
        <v>337238.09</v>
      </c>
      <c r="P121">
        <f t="shared" si="4"/>
        <v>50585.713500000005</v>
      </c>
      <c r="Q121">
        <f t="shared" si="5"/>
        <v>10.130901407481772</v>
      </c>
    </row>
    <row r="122" spans="1:17" x14ac:dyDescent="0.3">
      <c r="A122" t="s">
        <v>256</v>
      </c>
      <c r="B122" s="2">
        <v>46085</v>
      </c>
      <c r="C122" t="s">
        <v>164</v>
      </c>
      <c r="D122" t="s">
        <v>108</v>
      </c>
      <c r="E122" t="s">
        <v>36</v>
      </c>
      <c r="F122" t="s">
        <v>18</v>
      </c>
      <c r="G122" t="s">
        <v>19</v>
      </c>
      <c r="H122" t="s">
        <v>103</v>
      </c>
      <c r="I122">
        <v>1</v>
      </c>
      <c r="J122">
        <v>17546.099999999999</v>
      </c>
      <c r="K122">
        <v>0</v>
      </c>
      <c r="L122">
        <v>17546.099999999999</v>
      </c>
      <c r="M122">
        <v>13902.16</v>
      </c>
      <c r="N122">
        <v>3643.94</v>
      </c>
      <c r="O122">
        <f t="shared" si="3"/>
        <v>17546.099999999999</v>
      </c>
      <c r="P122">
        <f t="shared" si="4"/>
        <v>0</v>
      </c>
      <c r="Q122">
        <f t="shared" si="5"/>
        <v>20.767805951180033</v>
      </c>
    </row>
    <row r="123" spans="1:17" x14ac:dyDescent="0.3">
      <c r="A123" t="s">
        <v>257</v>
      </c>
      <c r="B123" s="2">
        <v>46233</v>
      </c>
      <c r="C123" t="s">
        <v>229</v>
      </c>
      <c r="D123" t="s">
        <v>145</v>
      </c>
      <c r="E123" t="s">
        <v>36</v>
      </c>
      <c r="F123" t="s">
        <v>86</v>
      </c>
      <c r="G123" t="s">
        <v>46</v>
      </c>
      <c r="H123" t="s">
        <v>50</v>
      </c>
      <c r="I123">
        <v>6</v>
      </c>
      <c r="J123">
        <v>46461.99</v>
      </c>
      <c r="K123">
        <v>0.1</v>
      </c>
      <c r="L123">
        <v>250894.75</v>
      </c>
      <c r="M123">
        <v>216084.27</v>
      </c>
      <c r="N123">
        <v>34810.480000000003</v>
      </c>
      <c r="O123">
        <f t="shared" si="3"/>
        <v>278771.94</v>
      </c>
      <c r="P123">
        <f t="shared" si="4"/>
        <v>27877.194000000003</v>
      </c>
      <c r="Q123">
        <f t="shared" si="5"/>
        <v>13.874535039095079</v>
      </c>
    </row>
    <row r="124" spans="1:17" x14ac:dyDescent="0.3">
      <c r="A124" t="s">
        <v>258</v>
      </c>
      <c r="B124" s="2">
        <v>46197</v>
      </c>
      <c r="C124" t="s">
        <v>206</v>
      </c>
      <c r="D124" t="s">
        <v>123</v>
      </c>
      <c r="E124" t="s">
        <v>90</v>
      </c>
      <c r="F124" t="s">
        <v>45</v>
      </c>
      <c r="G124" t="s">
        <v>46</v>
      </c>
      <c r="H124" t="s">
        <v>38</v>
      </c>
      <c r="I124">
        <v>1</v>
      </c>
      <c r="J124">
        <v>41722.79</v>
      </c>
      <c r="K124">
        <v>0</v>
      </c>
      <c r="L124">
        <v>41722.79</v>
      </c>
      <c r="M124">
        <v>37117.94</v>
      </c>
      <c r="N124">
        <v>4604.8500000000004</v>
      </c>
      <c r="O124">
        <f t="shared" si="3"/>
        <v>41722.79</v>
      </c>
      <c r="P124">
        <f t="shared" si="4"/>
        <v>0</v>
      </c>
      <c r="Q124">
        <f t="shared" si="5"/>
        <v>11.036773907018203</v>
      </c>
    </row>
    <row r="125" spans="1:17" x14ac:dyDescent="0.3">
      <c r="A125" t="s">
        <v>259</v>
      </c>
      <c r="B125" s="2">
        <v>46286</v>
      </c>
      <c r="C125" t="s">
        <v>260</v>
      </c>
      <c r="D125" t="s">
        <v>108</v>
      </c>
      <c r="E125" t="s">
        <v>36</v>
      </c>
      <c r="F125" t="s">
        <v>57</v>
      </c>
      <c r="G125" t="s">
        <v>19</v>
      </c>
      <c r="H125" t="s">
        <v>69</v>
      </c>
      <c r="I125">
        <v>2</v>
      </c>
      <c r="J125">
        <v>21083.96</v>
      </c>
      <c r="K125">
        <v>0</v>
      </c>
      <c r="L125">
        <v>42167.92</v>
      </c>
      <c r="M125">
        <v>31318.959999999999</v>
      </c>
      <c r="N125">
        <v>10848.96</v>
      </c>
      <c r="O125">
        <f t="shared" si="3"/>
        <v>42167.92</v>
      </c>
      <c r="P125">
        <f t="shared" si="4"/>
        <v>0</v>
      </c>
      <c r="Q125">
        <f t="shared" si="5"/>
        <v>25.727994171872837</v>
      </c>
    </row>
    <row r="126" spans="1:17" x14ac:dyDescent="0.3">
      <c r="A126" t="s">
        <v>261</v>
      </c>
      <c r="B126" s="2">
        <v>46109</v>
      </c>
      <c r="C126" t="s">
        <v>262</v>
      </c>
      <c r="D126" t="s">
        <v>126</v>
      </c>
      <c r="E126" t="s">
        <v>24</v>
      </c>
      <c r="F126" t="s">
        <v>45</v>
      </c>
      <c r="G126" t="s">
        <v>46</v>
      </c>
      <c r="H126" t="s">
        <v>50</v>
      </c>
      <c r="I126">
        <v>1</v>
      </c>
      <c r="J126">
        <v>58349.69</v>
      </c>
      <c r="K126">
        <v>0.05</v>
      </c>
      <c r="L126">
        <v>55432.21</v>
      </c>
      <c r="M126">
        <v>50839.65</v>
      </c>
      <c r="N126">
        <v>4592.5600000000004</v>
      </c>
      <c r="O126">
        <f t="shared" si="3"/>
        <v>58349.69</v>
      </c>
      <c r="P126">
        <f t="shared" si="4"/>
        <v>2917.4845000000005</v>
      </c>
      <c r="Q126">
        <f t="shared" si="5"/>
        <v>8.285002528313413</v>
      </c>
    </row>
    <row r="127" spans="1:17" x14ac:dyDescent="0.3">
      <c r="A127" t="s">
        <v>263</v>
      </c>
      <c r="B127" s="2">
        <v>46271</v>
      </c>
      <c r="C127" t="s">
        <v>264</v>
      </c>
      <c r="D127" t="s">
        <v>35</v>
      </c>
      <c r="E127" t="s">
        <v>36</v>
      </c>
      <c r="F127" t="s">
        <v>30</v>
      </c>
      <c r="G127" t="s">
        <v>31</v>
      </c>
      <c r="H127" t="s">
        <v>103</v>
      </c>
      <c r="I127">
        <v>1</v>
      </c>
      <c r="J127">
        <v>1549.89</v>
      </c>
      <c r="K127">
        <v>0.05</v>
      </c>
      <c r="L127">
        <v>1472.4</v>
      </c>
      <c r="M127">
        <v>1113.57</v>
      </c>
      <c r="N127">
        <v>358.83</v>
      </c>
      <c r="O127">
        <f t="shared" si="3"/>
        <v>1549.89</v>
      </c>
      <c r="P127">
        <f t="shared" si="4"/>
        <v>77.494500000000016</v>
      </c>
      <c r="Q127">
        <f t="shared" si="5"/>
        <v>24.37041564792176</v>
      </c>
    </row>
    <row r="128" spans="1:17" x14ac:dyDescent="0.3">
      <c r="A128" t="s">
        <v>265</v>
      </c>
      <c r="B128" s="2">
        <v>46110</v>
      </c>
      <c r="C128" t="s">
        <v>266</v>
      </c>
      <c r="D128" t="s">
        <v>145</v>
      </c>
      <c r="E128" t="s">
        <v>36</v>
      </c>
      <c r="F128" t="s">
        <v>18</v>
      </c>
      <c r="G128" t="s">
        <v>19</v>
      </c>
      <c r="H128" t="s">
        <v>54</v>
      </c>
      <c r="I128">
        <v>4</v>
      </c>
      <c r="J128">
        <v>23943.85</v>
      </c>
      <c r="K128">
        <v>0.1</v>
      </c>
      <c r="L128">
        <v>86197.86</v>
      </c>
      <c r="M128">
        <v>70946.89</v>
      </c>
      <c r="N128">
        <v>15250.97</v>
      </c>
      <c r="O128">
        <f t="shared" si="3"/>
        <v>95775.4</v>
      </c>
      <c r="P128">
        <f t="shared" si="4"/>
        <v>9577.5399999999991</v>
      </c>
      <c r="Q128">
        <f t="shared" si="5"/>
        <v>17.692979848919681</v>
      </c>
    </row>
    <row r="129" spans="1:17" x14ac:dyDescent="0.3">
      <c r="A129" t="s">
        <v>267</v>
      </c>
      <c r="B129" s="2">
        <v>46029</v>
      </c>
      <c r="C129" t="s">
        <v>268</v>
      </c>
      <c r="D129" t="s">
        <v>72</v>
      </c>
      <c r="E129" t="s">
        <v>29</v>
      </c>
      <c r="F129" t="s">
        <v>57</v>
      </c>
      <c r="G129" t="s">
        <v>19</v>
      </c>
      <c r="H129" t="s">
        <v>20</v>
      </c>
      <c r="I129">
        <v>5</v>
      </c>
      <c r="J129">
        <v>17510.38</v>
      </c>
      <c r="K129">
        <v>0</v>
      </c>
      <c r="L129">
        <v>87551.9</v>
      </c>
      <c r="M129">
        <v>69886.36</v>
      </c>
      <c r="N129">
        <v>17665.54</v>
      </c>
      <c r="O129">
        <f t="shared" si="3"/>
        <v>87551.900000000009</v>
      </c>
      <c r="P129">
        <f t="shared" si="4"/>
        <v>0</v>
      </c>
      <c r="Q129">
        <f t="shared" si="5"/>
        <v>20.177220597154378</v>
      </c>
    </row>
    <row r="130" spans="1:17" x14ac:dyDescent="0.3">
      <c r="A130" t="s">
        <v>269</v>
      </c>
      <c r="B130" s="2">
        <v>46210</v>
      </c>
      <c r="C130" t="s">
        <v>270</v>
      </c>
      <c r="D130" t="s">
        <v>123</v>
      </c>
      <c r="E130" t="s">
        <v>90</v>
      </c>
      <c r="F130" t="s">
        <v>45</v>
      </c>
      <c r="G130" t="s">
        <v>46</v>
      </c>
      <c r="H130" t="s">
        <v>32</v>
      </c>
      <c r="I130">
        <v>5</v>
      </c>
      <c r="J130">
        <v>60531.199999999997</v>
      </c>
      <c r="K130">
        <v>0</v>
      </c>
      <c r="L130">
        <v>302656</v>
      </c>
      <c r="M130">
        <v>277430.19</v>
      </c>
      <c r="N130">
        <v>25225.81</v>
      </c>
      <c r="O130">
        <f t="shared" si="3"/>
        <v>302656</v>
      </c>
      <c r="P130">
        <f t="shared" si="4"/>
        <v>0</v>
      </c>
      <c r="Q130">
        <f t="shared" si="5"/>
        <v>8.3348124603510261</v>
      </c>
    </row>
    <row r="131" spans="1:17" x14ac:dyDescent="0.3">
      <c r="A131" t="s">
        <v>271</v>
      </c>
      <c r="B131" s="2">
        <v>46141</v>
      </c>
      <c r="C131" t="s">
        <v>131</v>
      </c>
      <c r="D131" t="s">
        <v>28</v>
      </c>
      <c r="E131" t="s">
        <v>29</v>
      </c>
      <c r="F131" t="s">
        <v>79</v>
      </c>
      <c r="G131" t="s">
        <v>31</v>
      </c>
      <c r="H131" t="s">
        <v>38</v>
      </c>
      <c r="I131">
        <v>6</v>
      </c>
      <c r="J131">
        <v>7940.81</v>
      </c>
      <c r="K131">
        <v>0.1</v>
      </c>
      <c r="L131">
        <v>42880.37</v>
      </c>
      <c r="M131">
        <v>35712.550000000003</v>
      </c>
      <c r="N131">
        <v>7167.82</v>
      </c>
      <c r="O131">
        <f t="shared" ref="O131:O194" si="6">I131*J131</f>
        <v>47644.86</v>
      </c>
      <c r="P131">
        <f t="shared" ref="P131:P194" si="7">O131*K131</f>
        <v>4764.4859999999999</v>
      </c>
      <c r="Q131">
        <f t="shared" ref="Q131:Q194" si="8">N131/L131*100</f>
        <v>16.715853897715899</v>
      </c>
    </row>
    <row r="132" spans="1:17" x14ac:dyDescent="0.3">
      <c r="A132" t="s">
        <v>272</v>
      </c>
      <c r="B132" s="2">
        <v>46103</v>
      </c>
      <c r="C132" t="s">
        <v>273</v>
      </c>
      <c r="D132" t="s">
        <v>72</v>
      </c>
      <c r="E132" t="s">
        <v>29</v>
      </c>
      <c r="F132" t="s">
        <v>18</v>
      </c>
      <c r="G132" t="s">
        <v>19</v>
      </c>
      <c r="H132" t="s">
        <v>69</v>
      </c>
      <c r="I132">
        <v>7</v>
      </c>
      <c r="J132">
        <v>27692.71</v>
      </c>
      <c r="K132">
        <v>0.1</v>
      </c>
      <c r="L132">
        <v>174464.07</v>
      </c>
      <c r="M132">
        <v>137647.67999999999</v>
      </c>
      <c r="N132">
        <v>36816.39</v>
      </c>
      <c r="O132">
        <f t="shared" si="6"/>
        <v>193848.97</v>
      </c>
      <c r="P132">
        <f t="shared" si="7"/>
        <v>19384.897000000001</v>
      </c>
      <c r="Q132">
        <f t="shared" si="8"/>
        <v>21.102562837150366</v>
      </c>
    </row>
    <row r="133" spans="1:17" x14ac:dyDescent="0.3">
      <c r="A133" t="s">
        <v>274</v>
      </c>
      <c r="B133" s="2">
        <v>46036</v>
      </c>
      <c r="C133" t="s">
        <v>190</v>
      </c>
      <c r="D133" t="s">
        <v>62</v>
      </c>
      <c r="E133" t="s">
        <v>24</v>
      </c>
      <c r="F133" t="s">
        <v>18</v>
      </c>
      <c r="G133" t="s">
        <v>19</v>
      </c>
      <c r="H133" t="s">
        <v>25</v>
      </c>
      <c r="I133">
        <v>1</v>
      </c>
      <c r="J133">
        <v>21675.759999999998</v>
      </c>
      <c r="K133">
        <v>0</v>
      </c>
      <c r="L133">
        <v>21675.759999999998</v>
      </c>
      <c r="M133">
        <v>17845.16</v>
      </c>
      <c r="N133">
        <v>3830.6</v>
      </c>
      <c r="O133">
        <f t="shared" si="6"/>
        <v>21675.759999999998</v>
      </c>
      <c r="P133">
        <f t="shared" si="7"/>
        <v>0</v>
      </c>
      <c r="Q133">
        <f t="shared" si="8"/>
        <v>17.672275389651851</v>
      </c>
    </row>
    <row r="134" spans="1:17" x14ac:dyDescent="0.3">
      <c r="A134" t="s">
        <v>275</v>
      </c>
      <c r="B134" s="2">
        <v>46051</v>
      </c>
      <c r="C134" t="s">
        <v>235</v>
      </c>
      <c r="D134" t="s">
        <v>108</v>
      </c>
      <c r="E134" t="s">
        <v>36</v>
      </c>
      <c r="F134" t="s">
        <v>45</v>
      </c>
      <c r="G134" t="s">
        <v>46</v>
      </c>
      <c r="H134" t="s">
        <v>38</v>
      </c>
      <c r="I134">
        <v>3</v>
      </c>
      <c r="J134">
        <v>28615.37</v>
      </c>
      <c r="K134">
        <v>0.1</v>
      </c>
      <c r="L134">
        <v>77261.5</v>
      </c>
      <c r="M134">
        <v>68942.789999999994</v>
      </c>
      <c r="N134">
        <v>8318.7099999999991</v>
      </c>
      <c r="O134">
        <f t="shared" si="6"/>
        <v>85846.11</v>
      </c>
      <c r="P134">
        <f t="shared" si="7"/>
        <v>8584.6110000000008</v>
      </c>
      <c r="Q134">
        <f t="shared" si="8"/>
        <v>10.766953786814906</v>
      </c>
    </row>
    <row r="135" spans="1:17" x14ac:dyDescent="0.3">
      <c r="A135" t="s">
        <v>276</v>
      </c>
      <c r="B135" s="2">
        <v>46063</v>
      </c>
      <c r="C135" t="s">
        <v>277</v>
      </c>
      <c r="D135" t="s">
        <v>113</v>
      </c>
      <c r="E135" t="s">
        <v>17</v>
      </c>
      <c r="F135" t="s">
        <v>45</v>
      </c>
      <c r="G135" t="s">
        <v>46</v>
      </c>
      <c r="H135" t="s">
        <v>25</v>
      </c>
      <c r="I135">
        <v>1</v>
      </c>
      <c r="J135">
        <v>42708.9</v>
      </c>
      <c r="K135">
        <v>0.05</v>
      </c>
      <c r="L135">
        <v>40573.46</v>
      </c>
      <c r="M135">
        <v>35509.15</v>
      </c>
      <c r="N135">
        <v>5064.3100000000004</v>
      </c>
      <c r="O135">
        <f t="shared" si="6"/>
        <v>42708.9</v>
      </c>
      <c r="P135">
        <f t="shared" si="7"/>
        <v>2135.4450000000002</v>
      </c>
      <c r="Q135">
        <f t="shared" si="8"/>
        <v>12.481829254887309</v>
      </c>
    </row>
    <row r="136" spans="1:17" x14ac:dyDescent="0.3">
      <c r="A136" t="s">
        <v>278</v>
      </c>
      <c r="B136" s="2">
        <v>46049</v>
      </c>
      <c r="C136" t="s">
        <v>147</v>
      </c>
      <c r="D136" t="s">
        <v>62</v>
      </c>
      <c r="E136" t="s">
        <v>24</v>
      </c>
      <c r="F136" t="s">
        <v>53</v>
      </c>
      <c r="G136" t="s">
        <v>46</v>
      </c>
      <c r="H136" t="s">
        <v>20</v>
      </c>
      <c r="I136">
        <v>2</v>
      </c>
      <c r="J136">
        <v>28036.799999999999</v>
      </c>
      <c r="K136">
        <v>0.05</v>
      </c>
      <c r="L136">
        <v>53269.919999999998</v>
      </c>
      <c r="M136">
        <v>44400.28</v>
      </c>
      <c r="N136">
        <v>8869.64</v>
      </c>
      <c r="O136">
        <f t="shared" si="6"/>
        <v>56073.599999999999</v>
      </c>
      <c r="P136">
        <f t="shared" si="7"/>
        <v>2803.6800000000003</v>
      </c>
      <c r="Q136">
        <f t="shared" si="8"/>
        <v>16.65037229265597</v>
      </c>
    </row>
    <row r="137" spans="1:17" x14ac:dyDescent="0.3">
      <c r="A137" t="s">
        <v>279</v>
      </c>
      <c r="B137" s="2">
        <v>46212</v>
      </c>
      <c r="C137" t="s">
        <v>273</v>
      </c>
      <c r="D137" t="s">
        <v>72</v>
      </c>
      <c r="E137" t="s">
        <v>29</v>
      </c>
      <c r="F137" t="s">
        <v>45</v>
      </c>
      <c r="G137" t="s">
        <v>46</v>
      </c>
      <c r="H137" t="s">
        <v>25</v>
      </c>
      <c r="I137">
        <v>3</v>
      </c>
      <c r="J137">
        <v>23314.17</v>
      </c>
      <c r="K137">
        <v>0</v>
      </c>
      <c r="L137">
        <v>69942.509999999995</v>
      </c>
      <c r="M137">
        <v>65177.3</v>
      </c>
      <c r="N137">
        <v>4765.21</v>
      </c>
      <c r="O137">
        <f t="shared" si="6"/>
        <v>69942.509999999995</v>
      </c>
      <c r="P137">
        <f t="shared" si="7"/>
        <v>0</v>
      </c>
      <c r="Q137">
        <f t="shared" si="8"/>
        <v>6.8130383081762442</v>
      </c>
    </row>
    <row r="138" spans="1:17" x14ac:dyDescent="0.3">
      <c r="A138" t="s">
        <v>280</v>
      </c>
      <c r="B138" s="2">
        <v>46051</v>
      </c>
      <c r="C138" t="s">
        <v>84</v>
      </c>
      <c r="D138" t="s">
        <v>85</v>
      </c>
      <c r="E138" t="s">
        <v>17</v>
      </c>
      <c r="F138" t="s">
        <v>18</v>
      </c>
      <c r="G138" t="s">
        <v>19</v>
      </c>
      <c r="H138" t="s">
        <v>25</v>
      </c>
      <c r="I138">
        <v>4</v>
      </c>
      <c r="J138">
        <v>16181.06</v>
      </c>
      <c r="K138">
        <v>0.05</v>
      </c>
      <c r="L138">
        <v>61488.03</v>
      </c>
      <c r="M138">
        <v>49457.61</v>
      </c>
      <c r="N138">
        <v>12030.42</v>
      </c>
      <c r="O138">
        <f t="shared" si="6"/>
        <v>64724.24</v>
      </c>
      <c r="P138">
        <f t="shared" si="7"/>
        <v>3236.212</v>
      </c>
      <c r="Q138">
        <f t="shared" si="8"/>
        <v>19.565466644483486</v>
      </c>
    </row>
    <row r="139" spans="1:17" x14ac:dyDescent="0.3">
      <c r="A139" t="s">
        <v>281</v>
      </c>
      <c r="B139" s="2">
        <v>46077</v>
      </c>
      <c r="C139" t="s">
        <v>101</v>
      </c>
      <c r="D139" t="s">
        <v>35</v>
      </c>
      <c r="E139" t="s">
        <v>36</v>
      </c>
      <c r="F139" t="s">
        <v>18</v>
      </c>
      <c r="G139" t="s">
        <v>19</v>
      </c>
      <c r="H139" t="s">
        <v>32</v>
      </c>
      <c r="I139">
        <v>5</v>
      </c>
      <c r="J139">
        <v>26673.42</v>
      </c>
      <c r="K139">
        <v>0.05</v>
      </c>
      <c r="L139">
        <v>126698.74</v>
      </c>
      <c r="M139">
        <v>102323.25</v>
      </c>
      <c r="N139">
        <v>24375.49</v>
      </c>
      <c r="O139">
        <f t="shared" si="6"/>
        <v>133367.09999999998</v>
      </c>
      <c r="P139">
        <f t="shared" si="7"/>
        <v>6668.3549999999996</v>
      </c>
      <c r="Q139">
        <f t="shared" si="8"/>
        <v>19.238936393526881</v>
      </c>
    </row>
    <row r="140" spans="1:17" x14ac:dyDescent="0.3">
      <c r="A140" t="s">
        <v>282</v>
      </c>
      <c r="B140" s="2">
        <v>46249</v>
      </c>
      <c r="C140" t="s">
        <v>226</v>
      </c>
      <c r="D140" t="s">
        <v>16</v>
      </c>
      <c r="E140" t="s">
        <v>17</v>
      </c>
      <c r="F140" t="s">
        <v>86</v>
      </c>
      <c r="G140" t="s">
        <v>46</v>
      </c>
      <c r="H140" t="s">
        <v>69</v>
      </c>
      <c r="I140">
        <v>5</v>
      </c>
      <c r="J140">
        <v>64854.65</v>
      </c>
      <c r="K140">
        <v>0</v>
      </c>
      <c r="L140">
        <v>324273.25</v>
      </c>
      <c r="M140">
        <v>278118.38</v>
      </c>
      <c r="N140">
        <v>46154.87</v>
      </c>
      <c r="O140">
        <f t="shared" si="6"/>
        <v>324273.25</v>
      </c>
      <c r="P140">
        <f t="shared" si="7"/>
        <v>0</v>
      </c>
      <c r="Q140">
        <f t="shared" si="8"/>
        <v>14.23332636904216</v>
      </c>
    </row>
    <row r="141" spans="1:17" x14ac:dyDescent="0.3">
      <c r="A141" t="s">
        <v>283</v>
      </c>
      <c r="B141" s="2">
        <v>46039</v>
      </c>
      <c r="C141" t="s">
        <v>252</v>
      </c>
      <c r="D141" t="s">
        <v>89</v>
      </c>
      <c r="E141" t="s">
        <v>90</v>
      </c>
      <c r="F141" t="s">
        <v>41</v>
      </c>
      <c r="G141" t="s">
        <v>42</v>
      </c>
      <c r="H141" t="s">
        <v>38</v>
      </c>
      <c r="I141">
        <v>2</v>
      </c>
      <c r="J141">
        <v>22918.21</v>
      </c>
      <c r="K141">
        <v>0.05</v>
      </c>
      <c r="L141">
        <v>43544.6</v>
      </c>
      <c r="M141">
        <v>38793.360000000001</v>
      </c>
      <c r="N141">
        <v>4751.24</v>
      </c>
      <c r="O141">
        <f t="shared" si="6"/>
        <v>45836.42</v>
      </c>
      <c r="P141">
        <f t="shared" si="7"/>
        <v>2291.8209999999999</v>
      </c>
      <c r="Q141">
        <f t="shared" si="8"/>
        <v>10.91120368541679</v>
      </c>
    </row>
    <row r="142" spans="1:17" x14ac:dyDescent="0.3">
      <c r="A142" t="s">
        <v>284</v>
      </c>
      <c r="B142" s="2">
        <v>46124</v>
      </c>
      <c r="C142" t="s">
        <v>285</v>
      </c>
      <c r="D142" t="s">
        <v>123</v>
      </c>
      <c r="E142" t="s">
        <v>90</v>
      </c>
      <c r="F142" t="s">
        <v>49</v>
      </c>
      <c r="G142" t="s">
        <v>46</v>
      </c>
      <c r="H142" t="s">
        <v>69</v>
      </c>
      <c r="I142">
        <v>3</v>
      </c>
      <c r="J142">
        <v>20808.7</v>
      </c>
      <c r="K142">
        <v>0.1</v>
      </c>
      <c r="L142">
        <v>56183.49</v>
      </c>
      <c r="M142">
        <v>51558.82</v>
      </c>
      <c r="N142">
        <v>4624.67</v>
      </c>
      <c r="O142">
        <f t="shared" si="6"/>
        <v>62426.100000000006</v>
      </c>
      <c r="P142">
        <f t="shared" si="7"/>
        <v>6242.6100000000006</v>
      </c>
      <c r="Q142">
        <f t="shared" si="8"/>
        <v>8.2313683254635848</v>
      </c>
    </row>
    <row r="143" spans="1:17" x14ac:dyDescent="0.3">
      <c r="A143" t="s">
        <v>286</v>
      </c>
      <c r="B143" s="2">
        <v>46034</v>
      </c>
      <c r="C143" t="s">
        <v>199</v>
      </c>
      <c r="D143" t="s">
        <v>145</v>
      </c>
      <c r="E143" t="s">
        <v>36</v>
      </c>
      <c r="F143" t="s">
        <v>18</v>
      </c>
      <c r="G143" t="s">
        <v>19</v>
      </c>
      <c r="H143" t="s">
        <v>103</v>
      </c>
      <c r="I143">
        <v>7</v>
      </c>
      <c r="J143">
        <v>22926.240000000002</v>
      </c>
      <c r="K143">
        <v>0.1</v>
      </c>
      <c r="L143">
        <v>144435.31</v>
      </c>
      <c r="M143">
        <v>109907.47</v>
      </c>
      <c r="N143">
        <v>34527.839999999997</v>
      </c>
      <c r="O143">
        <f t="shared" si="6"/>
        <v>160483.68000000002</v>
      </c>
      <c r="P143">
        <f t="shared" si="7"/>
        <v>16048.368000000002</v>
      </c>
      <c r="Q143">
        <f t="shared" si="8"/>
        <v>23.905400971549128</v>
      </c>
    </row>
    <row r="144" spans="1:17" x14ac:dyDescent="0.3">
      <c r="A144" t="s">
        <v>287</v>
      </c>
      <c r="B144" s="2">
        <v>46220</v>
      </c>
      <c r="C144" t="s">
        <v>213</v>
      </c>
      <c r="D144" t="s">
        <v>23</v>
      </c>
      <c r="E144" t="s">
        <v>24</v>
      </c>
      <c r="F144" t="s">
        <v>41</v>
      </c>
      <c r="G144" t="s">
        <v>42</v>
      </c>
      <c r="H144" t="s">
        <v>25</v>
      </c>
      <c r="I144">
        <v>4</v>
      </c>
      <c r="J144">
        <v>27680.73</v>
      </c>
      <c r="K144">
        <v>0</v>
      </c>
      <c r="L144">
        <v>110722.92</v>
      </c>
      <c r="M144">
        <v>86527.73</v>
      </c>
      <c r="N144">
        <v>24195.19</v>
      </c>
      <c r="O144">
        <f t="shared" si="6"/>
        <v>110722.92</v>
      </c>
      <c r="P144">
        <f t="shared" si="7"/>
        <v>0</v>
      </c>
      <c r="Q144">
        <f t="shared" si="8"/>
        <v>21.852015824727165</v>
      </c>
    </row>
    <row r="145" spans="1:17" x14ac:dyDescent="0.3">
      <c r="A145" t="s">
        <v>288</v>
      </c>
      <c r="B145" s="2">
        <v>46069</v>
      </c>
      <c r="C145" t="s">
        <v>52</v>
      </c>
      <c r="D145" t="s">
        <v>72</v>
      </c>
      <c r="E145" t="s">
        <v>29</v>
      </c>
      <c r="F145" t="s">
        <v>57</v>
      </c>
      <c r="G145" t="s">
        <v>19</v>
      </c>
      <c r="H145" t="s">
        <v>289</v>
      </c>
      <c r="I145">
        <v>2</v>
      </c>
      <c r="J145">
        <v>21989.01</v>
      </c>
      <c r="K145">
        <v>0.05</v>
      </c>
      <c r="L145">
        <v>41779.120000000003</v>
      </c>
      <c r="M145">
        <v>29669.08</v>
      </c>
      <c r="N145">
        <v>12110.04</v>
      </c>
      <c r="O145">
        <f t="shared" si="6"/>
        <v>43978.02</v>
      </c>
      <c r="P145">
        <f t="shared" si="7"/>
        <v>2198.9009999999998</v>
      </c>
      <c r="Q145">
        <f t="shared" si="8"/>
        <v>28.985866624285052</v>
      </c>
    </row>
    <row r="146" spans="1:17" x14ac:dyDescent="0.3">
      <c r="A146" t="s">
        <v>290</v>
      </c>
      <c r="B146" s="2">
        <v>46139</v>
      </c>
      <c r="C146" t="s">
        <v>291</v>
      </c>
      <c r="D146" t="s">
        <v>126</v>
      </c>
      <c r="E146" t="s">
        <v>24</v>
      </c>
      <c r="F146" t="s">
        <v>41</v>
      </c>
      <c r="G146" t="s">
        <v>42</v>
      </c>
      <c r="H146" t="s">
        <v>54</v>
      </c>
      <c r="I146">
        <v>2</v>
      </c>
      <c r="J146">
        <v>10622.38</v>
      </c>
      <c r="K146">
        <v>0</v>
      </c>
      <c r="L146">
        <v>21244.76</v>
      </c>
      <c r="M146">
        <v>17092.66</v>
      </c>
      <c r="N146">
        <v>4152.1000000000004</v>
      </c>
      <c r="O146">
        <f t="shared" si="6"/>
        <v>21244.76</v>
      </c>
      <c r="P146">
        <f t="shared" si="7"/>
        <v>0</v>
      </c>
      <c r="Q146">
        <f t="shared" si="8"/>
        <v>19.544113466097055</v>
      </c>
    </row>
    <row r="147" spans="1:17" x14ac:dyDescent="0.3">
      <c r="A147" t="s">
        <v>292</v>
      </c>
      <c r="B147" s="2">
        <v>46125</v>
      </c>
      <c r="C147" t="s">
        <v>252</v>
      </c>
      <c r="D147" t="s">
        <v>89</v>
      </c>
      <c r="E147" t="s">
        <v>90</v>
      </c>
      <c r="F147" t="s">
        <v>18</v>
      </c>
      <c r="G147" t="s">
        <v>19</v>
      </c>
      <c r="H147" t="s">
        <v>54</v>
      </c>
      <c r="I147">
        <v>4</v>
      </c>
      <c r="J147">
        <v>11830.19</v>
      </c>
      <c r="K147">
        <v>0.05</v>
      </c>
      <c r="L147">
        <v>44954.720000000001</v>
      </c>
      <c r="M147">
        <v>32987.78</v>
      </c>
      <c r="N147">
        <v>11966.94</v>
      </c>
      <c r="O147">
        <f t="shared" si="6"/>
        <v>47320.76</v>
      </c>
      <c r="P147">
        <f t="shared" si="7"/>
        <v>2366.038</v>
      </c>
      <c r="Q147">
        <f t="shared" si="8"/>
        <v>26.619985621087171</v>
      </c>
    </row>
    <row r="148" spans="1:17" x14ac:dyDescent="0.3">
      <c r="A148" t="s">
        <v>293</v>
      </c>
      <c r="B148" s="2">
        <v>46037</v>
      </c>
      <c r="C148" t="s">
        <v>294</v>
      </c>
      <c r="D148" t="s">
        <v>23</v>
      </c>
      <c r="E148" t="s">
        <v>24</v>
      </c>
      <c r="F148" t="s">
        <v>86</v>
      </c>
      <c r="G148" t="s">
        <v>46</v>
      </c>
      <c r="H148" t="s">
        <v>20</v>
      </c>
      <c r="I148">
        <v>6</v>
      </c>
      <c r="J148">
        <v>66536.06</v>
      </c>
      <c r="K148">
        <v>0</v>
      </c>
      <c r="L148">
        <v>399216.36</v>
      </c>
      <c r="M148">
        <v>342292.44</v>
      </c>
      <c r="N148">
        <v>56923.92</v>
      </c>
      <c r="O148">
        <f t="shared" si="6"/>
        <v>399216.36</v>
      </c>
      <c r="P148">
        <f t="shared" si="7"/>
        <v>0</v>
      </c>
      <c r="Q148">
        <f t="shared" si="8"/>
        <v>14.258914639670579</v>
      </c>
    </row>
    <row r="149" spans="1:17" x14ac:dyDescent="0.3">
      <c r="A149" t="s">
        <v>295</v>
      </c>
      <c r="B149" s="2">
        <v>46130</v>
      </c>
      <c r="C149" t="s">
        <v>296</v>
      </c>
      <c r="D149" t="s">
        <v>145</v>
      </c>
      <c r="E149" t="s">
        <v>36</v>
      </c>
      <c r="F149" t="s">
        <v>45</v>
      </c>
      <c r="G149" t="s">
        <v>46</v>
      </c>
      <c r="H149" t="s">
        <v>20</v>
      </c>
      <c r="I149">
        <v>2</v>
      </c>
      <c r="J149">
        <v>16220.04</v>
      </c>
      <c r="K149">
        <v>0.15</v>
      </c>
      <c r="L149">
        <v>27574.07</v>
      </c>
      <c r="M149">
        <v>25919.040000000001</v>
      </c>
      <c r="N149">
        <v>1655.03</v>
      </c>
      <c r="O149">
        <f t="shared" si="6"/>
        <v>32440.080000000002</v>
      </c>
      <c r="P149">
        <f t="shared" si="7"/>
        <v>4866.0119999999997</v>
      </c>
      <c r="Q149">
        <f t="shared" si="8"/>
        <v>6.0021244596825927</v>
      </c>
    </row>
    <row r="150" spans="1:17" x14ac:dyDescent="0.3">
      <c r="A150" t="s">
        <v>297</v>
      </c>
      <c r="B150" s="2">
        <v>46118</v>
      </c>
      <c r="C150" t="s">
        <v>294</v>
      </c>
      <c r="D150" t="s">
        <v>106</v>
      </c>
      <c r="E150" t="s">
        <v>90</v>
      </c>
      <c r="F150" t="s">
        <v>57</v>
      </c>
      <c r="G150" t="s">
        <v>19</v>
      </c>
      <c r="H150" t="s">
        <v>103</v>
      </c>
      <c r="I150">
        <v>5</v>
      </c>
      <c r="J150">
        <v>5161.25</v>
      </c>
      <c r="K150">
        <v>0.1</v>
      </c>
      <c r="L150">
        <v>23225.62</v>
      </c>
      <c r="M150">
        <v>17924.8</v>
      </c>
      <c r="N150">
        <v>5300.82</v>
      </c>
      <c r="O150">
        <f t="shared" si="6"/>
        <v>25806.25</v>
      </c>
      <c r="P150">
        <f t="shared" si="7"/>
        <v>2580.625</v>
      </c>
      <c r="Q150">
        <f t="shared" si="8"/>
        <v>22.823158219242369</v>
      </c>
    </row>
    <row r="151" spans="1:17" x14ac:dyDescent="0.3">
      <c r="A151" t="s">
        <v>298</v>
      </c>
      <c r="B151" s="2">
        <v>46258</v>
      </c>
      <c r="C151" t="s">
        <v>299</v>
      </c>
      <c r="D151" t="s">
        <v>35</v>
      </c>
      <c r="E151" t="s">
        <v>36</v>
      </c>
      <c r="F151" t="s">
        <v>41</v>
      </c>
      <c r="G151" t="s">
        <v>42</v>
      </c>
      <c r="H151" t="s">
        <v>50</v>
      </c>
      <c r="I151">
        <v>1</v>
      </c>
      <c r="J151">
        <v>24438.560000000001</v>
      </c>
      <c r="K151">
        <v>0</v>
      </c>
      <c r="L151">
        <v>24438.560000000001</v>
      </c>
      <c r="M151">
        <v>20462.349999999999</v>
      </c>
      <c r="N151">
        <v>3976.21</v>
      </c>
      <c r="O151">
        <f t="shared" si="6"/>
        <v>24438.560000000001</v>
      </c>
      <c r="P151">
        <f t="shared" si="7"/>
        <v>0</v>
      </c>
      <c r="Q151">
        <f t="shared" si="8"/>
        <v>16.270230324536307</v>
      </c>
    </row>
    <row r="152" spans="1:17" x14ac:dyDescent="0.3">
      <c r="A152" t="s">
        <v>300</v>
      </c>
      <c r="B152" s="2">
        <v>46199</v>
      </c>
      <c r="C152" t="s">
        <v>226</v>
      </c>
      <c r="D152" t="s">
        <v>106</v>
      </c>
      <c r="E152" t="s">
        <v>90</v>
      </c>
      <c r="F152" t="s">
        <v>18</v>
      </c>
      <c r="G152" t="s">
        <v>19</v>
      </c>
      <c r="H152" t="s">
        <v>54</v>
      </c>
      <c r="I152">
        <v>4</v>
      </c>
      <c r="J152">
        <v>13032.02</v>
      </c>
      <c r="K152">
        <v>0.05</v>
      </c>
      <c r="L152">
        <v>49521.68</v>
      </c>
      <c r="M152">
        <v>38097.370000000003</v>
      </c>
      <c r="N152">
        <v>11424.31</v>
      </c>
      <c r="O152">
        <f t="shared" si="6"/>
        <v>52128.08</v>
      </c>
      <c r="P152">
        <f t="shared" si="7"/>
        <v>2606.4040000000005</v>
      </c>
      <c r="Q152">
        <f t="shared" si="8"/>
        <v>23.069310249571501</v>
      </c>
    </row>
    <row r="153" spans="1:17" x14ac:dyDescent="0.3">
      <c r="A153" t="s">
        <v>301</v>
      </c>
      <c r="B153" s="2">
        <v>46162</v>
      </c>
      <c r="C153" t="s">
        <v>206</v>
      </c>
      <c r="D153" t="s">
        <v>102</v>
      </c>
      <c r="E153" t="s">
        <v>29</v>
      </c>
      <c r="F153" t="s">
        <v>37</v>
      </c>
      <c r="G153" t="s">
        <v>31</v>
      </c>
      <c r="H153" t="s">
        <v>50</v>
      </c>
      <c r="I153">
        <v>5</v>
      </c>
      <c r="J153">
        <v>8282.91</v>
      </c>
      <c r="K153">
        <v>0</v>
      </c>
      <c r="L153">
        <v>41414.550000000003</v>
      </c>
      <c r="M153">
        <v>33541.24</v>
      </c>
      <c r="N153">
        <v>7873.31</v>
      </c>
      <c r="O153">
        <f t="shared" si="6"/>
        <v>41414.550000000003</v>
      </c>
      <c r="P153">
        <f t="shared" si="7"/>
        <v>0</v>
      </c>
      <c r="Q153">
        <f t="shared" si="8"/>
        <v>19.010975611228421</v>
      </c>
    </row>
    <row r="154" spans="1:17" x14ac:dyDescent="0.3">
      <c r="A154" t="s">
        <v>302</v>
      </c>
      <c r="B154" s="2">
        <v>46033</v>
      </c>
      <c r="C154" t="s">
        <v>140</v>
      </c>
      <c r="D154" t="s">
        <v>145</v>
      </c>
      <c r="E154" t="s">
        <v>36</v>
      </c>
      <c r="F154" t="s">
        <v>45</v>
      </c>
      <c r="G154" t="s">
        <v>46</v>
      </c>
      <c r="H154" t="s">
        <v>54</v>
      </c>
      <c r="I154">
        <v>4</v>
      </c>
      <c r="J154">
        <v>23351.7</v>
      </c>
      <c r="K154">
        <v>0</v>
      </c>
      <c r="L154">
        <v>93406.8</v>
      </c>
      <c r="M154">
        <v>84426.46</v>
      </c>
      <c r="N154">
        <v>8980.34</v>
      </c>
      <c r="O154">
        <f t="shared" si="6"/>
        <v>93406.8</v>
      </c>
      <c r="P154">
        <f t="shared" si="7"/>
        <v>0</v>
      </c>
      <c r="Q154">
        <f t="shared" si="8"/>
        <v>9.6142250885374505</v>
      </c>
    </row>
    <row r="155" spans="1:17" x14ac:dyDescent="0.3">
      <c r="A155" t="s">
        <v>303</v>
      </c>
      <c r="B155" s="2">
        <v>46265</v>
      </c>
      <c r="C155" t="s">
        <v>179</v>
      </c>
      <c r="D155" t="s">
        <v>108</v>
      </c>
      <c r="E155" t="s">
        <v>36</v>
      </c>
      <c r="F155" t="s">
        <v>37</v>
      </c>
      <c r="G155" t="s">
        <v>31</v>
      </c>
      <c r="H155" t="s">
        <v>103</v>
      </c>
      <c r="I155">
        <v>1</v>
      </c>
      <c r="J155">
        <v>1899.04</v>
      </c>
      <c r="K155">
        <v>0</v>
      </c>
      <c r="L155">
        <v>1899.04</v>
      </c>
      <c r="M155">
        <v>1590.69</v>
      </c>
      <c r="N155">
        <v>308.35000000000002</v>
      </c>
      <c r="O155">
        <f t="shared" si="6"/>
        <v>1899.04</v>
      </c>
      <c r="P155">
        <f t="shared" si="7"/>
        <v>0</v>
      </c>
      <c r="Q155">
        <f t="shared" si="8"/>
        <v>16.237151402814053</v>
      </c>
    </row>
    <row r="156" spans="1:17" x14ac:dyDescent="0.3">
      <c r="A156" t="s">
        <v>304</v>
      </c>
      <c r="B156" s="2">
        <v>46284</v>
      </c>
      <c r="C156" t="s">
        <v>166</v>
      </c>
      <c r="D156" t="s">
        <v>85</v>
      </c>
      <c r="E156" t="s">
        <v>17</v>
      </c>
      <c r="F156" t="s">
        <v>30</v>
      </c>
      <c r="G156" t="s">
        <v>31</v>
      </c>
      <c r="H156" t="s">
        <v>69</v>
      </c>
      <c r="I156">
        <v>7</v>
      </c>
      <c r="J156">
        <v>3445.07</v>
      </c>
      <c r="K156">
        <v>0.1</v>
      </c>
      <c r="L156">
        <v>21703.94</v>
      </c>
      <c r="M156">
        <v>15830.68</v>
      </c>
      <c r="N156">
        <v>5873.26</v>
      </c>
      <c r="O156">
        <f t="shared" si="6"/>
        <v>24115.49</v>
      </c>
      <c r="P156">
        <f t="shared" si="7"/>
        <v>2411.5490000000004</v>
      </c>
      <c r="Q156">
        <f t="shared" si="8"/>
        <v>27.060800942133088</v>
      </c>
    </row>
    <row r="157" spans="1:17" x14ac:dyDescent="0.3">
      <c r="A157" t="s">
        <v>305</v>
      </c>
      <c r="B157" s="2">
        <v>46083</v>
      </c>
      <c r="C157" t="s">
        <v>296</v>
      </c>
      <c r="D157" t="s">
        <v>102</v>
      </c>
      <c r="E157" t="s">
        <v>29</v>
      </c>
      <c r="F157" t="s">
        <v>37</v>
      </c>
      <c r="G157" t="s">
        <v>31</v>
      </c>
      <c r="H157" t="s">
        <v>103</v>
      </c>
      <c r="I157">
        <v>2</v>
      </c>
      <c r="J157">
        <v>5879.61</v>
      </c>
      <c r="K157">
        <v>0.05</v>
      </c>
      <c r="L157">
        <v>11171.26</v>
      </c>
      <c r="M157">
        <v>9400.98</v>
      </c>
      <c r="N157">
        <v>1770.28</v>
      </c>
      <c r="O157">
        <f t="shared" si="6"/>
        <v>11759.22</v>
      </c>
      <c r="P157">
        <f t="shared" si="7"/>
        <v>587.96100000000001</v>
      </c>
      <c r="Q157">
        <f t="shared" si="8"/>
        <v>15.846735283217829</v>
      </c>
    </row>
    <row r="158" spans="1:17" x14ac:dyDescent="0.3">
      <c r="A158" t="s">
        <v>306</v>
      </c>
      <c r="B158" s="2">
        <v>46111</v>
      </c>
      <c r="C158" t="s">
        <v>164</v>
      </c>
      <c r="D158" t="s">
        <v>62</v>
      </c>
      <c r="E158" t="s">
        <v>24</v>
      </c>
      <c r="F158" t="s">
        <v>79</v>
      </c>
      <c r="G158" t="s">
        <v>31</v>
      </c>
      <c r="H158" t="s">
        <v>38</v>
      </c>
      <c r="I158">
        <v>2</v>
      </c>
      <c r="J158">
        <v>7464.93</v>
      </c>
      <c r="K158">
        <v>0.05</v>
      </c>
      <c r="L158">
        <v>14183.37</v>
      </c>
      <c r="M158">
        <v>11760.11</v>
      </c>
      <c r="N158">
        <v>2423.2600000000002</v>
      </c>
      <c r="O158">
        <f t="shared" si="6"/>
        <v>14929.86</v>
      </c>
      <c r="P158">
        <f t="shared" si="7"/>
        <v>746.49300000000005</v>
      </c>
      <c r="Q158">
        <f t="shared" si="8"/>
        <v>17.085220226222685</v>
      </c>
    </row>
    <row r="159" spans="1:17" x14ac:dyDescent="0.3">
      <c r="A159" t="s">
        <v>307</v>
      </c>
      <c r="B159" s="2">
        <v>46051</v>
      </c>
      <c r="C159" t="s">
        <v>250</v>
      </c>
      <c r="D159" t="s">
        <v>62</v>
      </c>
      <c r="E159" t="s">
        <v>24</v>
      </c>
      <c r="F159" t="s">
        <v>49</v>
      </c>
      <c r="G159" t="s">
        <v>46</v>
      </c>
      <c r="H159" t="s">
        <v>20</v>
      </c>
      <c r="I159">
        <v>4</v>
      </c>
      <c r="J159">
        <v>38758.239999999998</v>
      </c>
      <c r="K159">
        <v>0</v>
      </c>
      <c r="L159">
        <v>155032.95999999999</v>
      </c>
      <c r="M159">
        <v>139589.41</v>
      </c>
      <c r="N159">
        <v>15443.55</v>
      </c>
      <c r="O159">
        <f t="shared" si="6"/>
        <v>155032.95999999999</v>
      </c>
      <c r="P159">
        <f t="shared" si="7"/>
        <v>0</v>
      </c>
      <c r="Q159">
        <f t="shared" si="8"/>
        <v>9.9614623883850246</v>
      </c>
    </row>
    <row r="160" spans="1:17" x14ac:dyDescent="0.3">
      <c r="A160" t="s">
        <v>308</v>
      </c>
      <c r="B160" s="2">
        <v>46248</v>
      </c>
      <c r="C160" t="s">
        <v>66</v>
      </c>
      <c r="D160" t="s">
        <v>23</v>
      </c>
      <c r="E160" t="s">
        <v>24</v>
      </c>
      <c r="F160" t="s">
        <v>53</v>
      </c>
      <c r="G160" t="s">
        <v>46</v>
      </c>
      <c r="H160" t="s">
        <v>38</v>
      </c>
      <c r="I160">
        <v>5</v>
      </c>
      <c r="J160">
        <v>15753.6</v>
      </c>
      <c r="K160">
        <v>0</v>
      </c>
      <c r="L160">
        <v>78768</v>
      </c>
      <c r="M160">
        <v>66696</v>
      </c>
      <c r="N160">
        <v>12072</v>
      </c>
      <c r="O160">
        <f t="shared" si="6"/>
        <v>78768</v>
      </c>
      <c r="P160">
        <f t="shared" si="7"/>
        <v>0</v>
      </c>
      <c r="Q160">
        <f t="shared" si="8"/>
        <v>15.326020719073735</v>
      </c>
    </row>
    <row r="161" spans="1:17" x14ac:dyDescent="0.3">
      <c r="A161" t="s">
        <v>309</v>
      </c>
      <c r="B161" s="2">
        <v>46198</v>
      </c>
      <c r="C161" t="s">
        <v>140</v>
      </c>
      <c r="D161" t="s">
        <v>108</v>
      </c>
      <c r="E161" t="s">
        <v>36</v>
      </c>
      <c r="F161" t="s">
        <v>30</v>
      </c>
      <c r="G161" t="s">
        <v>31</v>
      </c>
      <c r="H161" t="s">
        <v>32</v>
      </c>
      <c r="I161">
        <v>2</v>
      </c>
      <c r="J161">
        <v>4964.2</v>
      </c>
      <c r="K161">
        <v>0.05</v>
      </c>
      <c r="L161">
        <v>9431.98</v>
      </c>
      <c r="M161">
        <v>7427.91</v>
      </c>
      <c r="N161">
        <v>2004.07</v>
      </c>
      <c r="O161">
        <f t="shared" si="6"/>
        <v>9928.4</v>
      </c>
      <c r="P161">
        <f t="shared" si="7"/>
        <v>496.42</v>
      </c>
      <c r="Q161">
        <f t="shared" si="8"/>
        <v>21.247606547087674</v>
      </c>
    </row>
    <row r="162" spans="1:17" x14ac:dyDescent="0.3">
      <c r="A162" t="s">
        <v>310</v>
      </c>
      <c r="B162" s="2">
        <v>46208</v>
      </c>
      <c r="C162" t="s">
        <v>93</v>
      </c>
      <c r="D162" t="s">
        <v>106</v>
      </c>
      <c r="E162" t="s">
        <v>90</v>
      </c>
      <c r="F162" t="s">
        <v>18</v>
      </c>
      <c r="G162" t="s">
        <v>19</v>
      </c>
      <c r="H162" t="s">
        <v>103</v>
      </c>
      <c r="I162">
        <v>3</v>
      </c>
      <c r="J162">
        <v>20904.349999999999</v>
      </c>
      <c r="K162">
        <v>0.1</v>
      </c>
      <c r="L162">
        <v>56441.74</v>
      </c>
      <c r="M162">
        <v>42440.28</v>
      </c>
      <c r="N162">
        <v>14001.46</v>
      </c>
      <c r="O162">
        <f t="shared" si="6"/>
        <v>62713.049999999996</v>
      </c>
      <c r="P162">
        <f t="shared" si="7"/>
        <v>6271.3050000000003</v>
      </c>
      <c r="Q162">
        <f t="shared" si="8"/>
        <v>24.806924804231762</v>
      </c>
    </row>
    <row r="163" spans="1:17" x14ac:dyDescent="0.3">
      <c r="A163" t="s">
        <v>311</v>
      </c>
      <c r="B163" s="2">
        <v>46190</v>
      </c>
      <c r="C163" t="s">
        <v>144</v>
      </c>
      <c r="D163" t="s">
        <v>28</v>
      </c>
      <c r="E163" t="s">
        <v>29</v>
      </c>
      <c r="F163" t="s">
        <v>86</v>
      </c>
      <c r="G163" t="s">
        <v>46</v>
      </c>
      <c r="H163" t="s">
        <v>54</v>
      </c>
      <c r="I163">
        <v>1</v>
      </c>
      <c r="J163">
        <v>51293.63</v>
      </c>
      <c r="K163">
        <v>0</v>
      </c>
      <c r="L163">
        <v>51293.63</v>
      </c>
      <c r="M163">
        <v>45965.81</v>
      </c>
      <c r="N163">
        <v>5327.82</v>
      </c>
      <c r="O163">
        <f t="shared" si="6"/>
        <v>51293.63</v>
      </c>
      <c r="P163">
        <f t="shared" si="7"/>
        <v>0</v>
      </c>
      <c r="Q163">
        <f t="shared" si="8"/>
        <v>10.386903792927114</v>
      </c>
    </row>
    <row r="164" spans="1:17" x14ac:dyDescent="0.3">
      <c r="A164" t="s">
        <v>312</v>
      </c>
      <c r="B164" s="2">
        <v>46177</v>
      </c>
      <c r="C164" t="s">
        <v>313</v>
      </c>
      <c r="D164" t="s">
        <v>113</v>
      </c>
      <c r="E164" t="s">
        <v>17</v>
      </c>
      <c r="F164" t="s">
        <v>57</v>
      </c>
      <c r="G164" t="s">
        <v>19</v>
      </c>
      <c r="H164" t="s">
        <v>25</v>
      </c>
      <c r="I164">
        <v>5</v>
      </c>
      <c r="J164">
        <v>19987.830000000002</v>
      </c>
      <c r="K164">
        <v>0.1</v>
      </c>
      <c r="L164">
        <v>89945.24</v>
      </c>
      <c r="M164">
        <v>73439.42</v>
      </c>
      <c r="N164">
        <v>16505.82</v>
      </c>
      <c r="O164">
        <f t="shared" si="6"/>
        <v>99939.150000000009</v>
      </c>
      <c r="P164">
        <f t="shared" si="7"/>
        <v>9993.9150000000009</v>
      </c>
      <c r="Q164">
        <f t="shared" si="8"/>
        <v>18.35096554303485</v>
      </c>
    </row>
    <row r="165" spans="1:17" x14ac:dyDescent="0.3">
      <c r="A165" t="s">
        <v>314</v>
      </c>
      <c r="B165" s="2">
        <v>46182</v>
      </c>
      <c r="C165" t="s">
        <v>315</v>
      </c>
      <c r="D165" t="s">
        <v>102</v>
      </c>
      <c r="E165" t="s">
        <v>29</v>
      </c>
      <c r="F165" t="s">
        <v>30</v>
      </c>
      <c r="G165" t="s">
        <v>31</v>
      </c>
      <c r="H165" t="s">
        <v>20</v>
      </c>
      <c r="I165">
        <v>7</v>
      </c>
      <c r="J165">
        <v>3922.73</v>
      </c>
      <c r="K165">
        <v>0</v>
      </c>
      <c r="L165">
        <v>27459.11</v>
      </c>
      <c r="M165">
        <v>21354.85</v>
      </c>
      <c r="N165">
        <v>6104.26</v>
      </c>
      <c r="O165">
        <f t="shared" si="6"/>
        <v>27459.11</v>
      </c>
      <c r="P165">
        <f t="shared" si="7"/>
        <v>0</v>
      </c>
      <c r="Q165">
        <f t="shared" si="8"/>
        <v>22.230363620670882</v>
      </c>
    </row>
    <row r="166" spans="1:17" x14ac:dyDescent="0.3">
      <c r="A166" t="s">
        <v>316</v>
      </c>
      <c r="B166" s="2">
        <v>46034</v>
      </c>
      <c r="C166" t="s">
        <v>95</v>
      </c>
      <c r="D166" t="s">
        <v>126</v>
      </c>
      <c r="E166" t="s">
        <v>24</v>
      </c>
      <c r="F166" t="s">
        <v>45</v>
      </c>
      <c r="G166" t="s">
        <v>46</v>
      </c>
      <c r="H166" t="s">
        <v>54</v>
      </c>
      <c r="I166">
        <v>6</v>
      </c>
      <c r="J166">
        <v>29351.91</v>
      </c>
      <c r="K166">
        <v>0</v>
      </c>
      <c r="L166">
        <v>176111.46</v>
      </c>
      <c r="M166">
        <v>156671.22</v>
      </c>
      <c r="N166">
        <v>19440.240000000002</v>
      </c>
      <c r="O166">
        <f t="shared" si="6"/>
        <v>176111.46</v>
      </c>
      <c r="P166">
        <f t="shared" si="7"/>
        <v>0</v>
      </c>
      <c r="Q166">
        <f t="shared" si="8"/>
        <v>11.038600213750998</v>
      </c>
    </row>
    <row r="167" spans="1:17" x14ac:dyDescent="0.3">
      <c r="A167" t="s">
        <v>317</v>
      </c>
      <c r="B167" s="2">
        <v>46210</v>
      </c>
      <c r="C167" t="s">
        <v>206</v>
      </c>
      <c r="D167" t="s">
        <v>23</v>
      </c>
      <c r="E167" t="s">
        <v>24</v>
      </c>
      <c r="F167" t="s">
        <v>49</v>
      </c>
      <c r="G167" t="s">
        <v>46</v>
      </c>
      <c r="H167" t="s">
        <v>38</v>
      </c>
      <c r="I167">
        <v>3</v>
      </c>
      <c r="J167">
        <v>15596.56</v>
      </c>
      <c r="K167">
        <v>0.1</v>
      </c>
      <c r="L167">
        <v>42110.71</v>
      </c>
      <c r="M167">
        <v>37111.58</v>
      </c>
      <c r="N167">
        <v>4999.13</v>
      </c>
      <c r="O167">
        <f t="shared" si="6"/>
        <v>46789.68</v>
      </c>
      <c r="P167">
        <f t="shared" si="7"/>
        <v>4678.9679999999998</v>
      </c>
      <c r="Q167">
        <f t="shared" si="8"/>
        <v>11.871398036271533</v>
      </c>
    </row>
    <row r="168" spans="1:17" x14ac:dyDescent="0.3">
      <c r="A168" t="s">
        <v>318</v>
      </c>
      <c r="B168" s="2">
        <v>46082</v>
      </c>
      <c r="C168" t="s">
        <v>88</v>
      </c>
      <c r="D168" t="s">
        <v>35</v>
      </c>
      <c r="E168" t="s">
        <v>36</v>
      </c>
      <c r="F168" t="s">
        <v>30</v>
      </c>
      <c r="G168" t="s">
        <v>31</v>
      </c>
      <c r="H168" t="s">
        <v>32</v>
      </c>
      <c r="I168">
        <v>4</v>
      </c>
      <c r="J168">
        <v>1230.54</v>
      </c>
      <c r="K168">
        <v>0</v>
      </c>
      <c r="L168">
        <v>4922.16</v>
      </c>
      <c r="M168">
        <v>3690.58</v>
      </c>
      <c r="N168">
        <v>1231.58</v>
      </c>
      <c r="O168">
        <f t="shared" si="6"/>
        <v>4922.16</v>
      </c>
      <c r="P168">
        <f t="shared" si="7"/>
        <v>0</v>
      </c>
      <c r="Q168">
        <f t="shared" si="8"/>
        <v>25.021128935264191</v>
      </c>
    </row>
    <row r="169" spans="1:17" x14ac:dyDescent="0.3">
      <c r="A169" t="s">
        <v>319</v>
      </c>
      <c r="B169" s="2">
        <v>46214</v>
      </c>
      <c r="C169" t="s">
        <v>320</v>
      </c>
      <c r="D169" t="s">
        <v>89</v>
      </c>
      <c r="E169" t="s">
        <v>90</v>
      </c>
      <c r="F169" t="s">
        <v>53</v>
      </c>
      <c r="G169" t="s">
        <v>46</v>
      </c>
      <c r="H169" t="s">
        <v>50</v>
      </c>
      <c r="I169">
        <v>6</v>
      </c>
      <c r="J169">
        <v>27422.87</v>
      </c>
      <c r="K169">
        <v>0</v>
      </c>
      <c r="L169">
        <v>164537.22</v>
      </c>
      <c r="M169">
        <v>137867.13</v>
      </c>
      <c r="N169">
        <v>26670.09</v>
      </c>
      <c r="O169">
        <f t="shared" si="6"/>
        <v>164537.22</v>
      </c>
      <c r="P169">
        <f t="shared" si="7"/>
        <v>0</v>
      </c>
      <c r="Q169">
        <f t="shared" si="8"/>
        <v>16.209153163035086</v>
      </c>
    </row>
    <row r="170" spans="1:17" x14ac:dyDescent="0.3">
      <c r="A170" t="s">
        <v>321</v>
      </c>
      <c r="B170" s="2">
        <v>46214</v>
      </c>
      <c r="C170" t="s">
        <v>61</v>
      </c>
      <c r="D170" t="s">
        <v>35</v>
      </c>
      <c r="E170" t="s">
        <v>36</v>
      </c>
      <c r="F170" t="s">
        <v>79</v>
      </c>
      <c r="G170" t="s">
        <v>31</v>
      </c>
      <c r="H170" t="s">
        <v>69</v>
      </c>
      <c r="I170">
        <v>4</v>
      </c>
      <c r="J170">
        <v>8193.7999999999993</v>
      </c>
      <c r="K170">
        <v>0.1</v>
      </c>
      <c r="L170">
        <v>29497.68</v>
      </c>
      <c r="M170">
        <v>25863.67</v>
      </c>
      <c r="N170">
        <v>3634.01</v>
      </c>
      <c r="O170">
        <f t="shared" si="6"/>
        <v>32775.199999999997</v>
      </c>
      <c r="P170">
        <f t="shared" si="7"/>
        <v>3277.52</v>
      </c>
      <c r="Q170">
        <f t="shared" si="8"/>
        <v>12.31964683324248</v>
      </c>
    </row>
    <row r="171" spans="1:17" x14ac:dyDescent="0.3">
      <c r="A171" t="s">
        <v>322</v>
      </c>
      <c r="B171" s="2">
        <v>46156</v>
      </c>
      <c r="C171" t="s">
        <v>254</v>
      </c>
      <c r="D171" t="s">
        <v>35</v>
      </c>
      <c r="E171" t="s">
        <v>36</v>
      </c>
      <c r="F171" t="s">
        <v>49</v>
      </c>
      <c r="G171" t="s">
        <v>46</v>
      </c>
      <c r="H171" t="s">
        <v>38</v>
      </c>
      <c r="I171">
        <v>7</v>
      </c>
      <c r="J171">
        <v>19070.240000000002</v>
      </c>
      <c r="K171">
        <v>0</v>
      </c>
      <c r="L171">
        <v>133491.68</v>
      </c>
      <c r="M171">
        <v>120859.84</v>
      </c>
      <c r="N171">
        <v>12631.84</v>
      </c>
      <c r="O171">
        <f t="shared" si="6"/>
        <v>133491.68000000002</v>
      </c>
      <c r="P171">
        <f t="shared" si="7"/>
        <v>0</v>
      </c>
      <c r="Q171">
        <f t="shared" si="8"/>
        <v>9.4626421661634659</v>
      </c>
    </row>
    <row r="172" spans="1:17" x14ac:dyDescent="0.3">
      <c r="A172" t="s">
        <v>323</v>
      </c>
      <c r="B172" s="2">
        <v>46121</v>
      </c>
      <c r="C172" t="s">
        <v>324</v>
      </c>
      <c r="D172" t="s">
        <v>108</v>
      </c>
      <c r="E172" t="s">
        <v>36</v>
      </c>
      <c r="F172" t="s">
        <v>41</v>
      </c>
      <c r="G172" t="s">
        <v>42</v>
      </c>
      <c r="H172" t="s">
        <v>25</v>
      </c>
      <c r="I172">
        <v>7</v>
      </c>
      <c r="J172">
        <v>9926.9699999999993</v>
      </c>
      <c r="K172">
        <v>0.1</v>
      </c>
      <c r="L172">
        <v>62539.91</v>
      </c>
      <c r="M172">
        <v>54046.68</v>
      </c>
      <c r="N172">
        <v>8493.23</v>
      </c>
      <c r="O172">
        <f t="shared" si="6"/>
        <v>69488.789999999994</v>
      </c>
      <c r="P172">
        <f t="shared" si="7"/>
        <v>6948.8789999999999</v>
      </c>
      <c r="Q172">
        <f t="shared" si="8"/>
        <v>13.580496038449684</v>
      </c>
    </row>
    <row r="173" spans="1:17" x14ac:dyDescent="0.3">
      <c r="A173" t="s">
        <v>325</v>
      </c>
      <c r="B173" s="2">
        <v>46197</v>
      </c>
      <c r="C173" t="s">
        <v>174</v>
      </c>
      <c r="D173" t="s">
        <v>145</v>
      </c>
      <c r="E173" t="s">
        <v>36</v>
      </c>
      <c r="F173" t="s">
        <v>79</v>
      </c>
      <c r="G173" t="s">
        <v>31</v>
      </c>
      <c r="H173" t="s">
        <v>20</v>
      </c>
      <c r="I173">
        <v>3</v>
      </c>
      <c r="J173">
        <v>8268.7199999999993</v>
      </c>
      <c r="K173">
        <v>0.1</v>
      </c>
      <c r="L173">
        <v>22325.54</v>
      </c>
      <c r="M173">
        <v>16850.849999999999</v>
      </c>
      <c r="N173">
        <v>5474.69</v>
      </c>
      <c r="O173">
        <f t="shared" si="6"/>
        <v>24806.159999999996</v>
      </c>
      <c r="P173">
        <f t="shared" si="7"/>
        <v>2480.616</v>
      </c>
      <c r="Q173">
        <f t="shared" si="8"/>
        <v>24.522094426383411</v>
      </c>
    </row>
    <row r="174" spans="1:17" x14ac:dyDescent="0.3">
      <c r="A174" t="s">
        <v>326</v>
      </c>
      <c r="B174" s="2">
        <v>46043</v>
      </c>
      <c r="C174" t="s">
        <v>229</v>
      </c>
      <c r="D174" t="s">
        <v>35</v>
      </c>
      <c r="E174" t="s">
        <v>36</v>
      </c>
      <c r="F174" t="s">
        <v>30</v>
      </c>
      <c r="G174" t="s">
        <v>31</v>
      </c>
      <c r="H174" t="s">
        <v>25</v>
      </c>
      <c r="I174">
        <v>6</v>
      </c>
      <c r="J174">
        <v>3481.81</v>
      </c>
      <c r="K174">
        <v>0.1</v>
      </c>
      <c r="L174">
        <v>18801.77</v>
      </c>
      <c r="M174">
        <v>14900.42</v>
      </c>
      <c r="N174">
        <v>3901.35</v>
      </c>
      <c r="O174">
        <f t="shared" si="6"/>
        <v>20890.86</v>
      </c>
      <c r="P174">
        <f t="shared" si="7"/>
        <v>2089.0860000000002</v>
      </c>
      <c r="Q174">
        <f t="shared" si="8"/>
        <v>20.749908120352497</v>
      </c>
    </row>
    <row r="175" spans="1:17" x14ac:dyDescent="0.3">
      <c r="A175" t="s">
        <v>327</v>
      </c>
      <c r="B175" s="2">
        <v>46037</v>
      </c>
      <c r="C175" t="s">
        <v>328</v>
      </c>
      <c r="D175" t="s">
        <v>123</v>
      </c>
      <c r="E175" t="s">
        <v>90</v>
      </c>
      <c r="F175" t="s">
        <v>49</v>
      </c>
      <c r="G175" t="s">
        <v>46</v>
      </c>
      <c r="H175" t="s">
        <v>103</v>
      </c>
      <c r="I175">
        <v>1</v>
      </c>
      <c r="J175">
        <v>12871.75</v>
      </c>
      <c r="K175">
        <v>0.05</v>
      </c>
      <c r="L175">
        <v>12228.16</v>
      </c>
      <c r="M175">
        <v>10752.86</v>
      </c>
      <c r="N175">
        <v>1475.3</v>
      </c>
      <c r="O175">
        <f t="shared" si="6"/>
        <v>12871.75</v>
      </c>
      <c r="P175">
        <f t="shared" si="7"/>
        <v>643.58750000000009</v>
      </c>
      <c r="Q175">
        <f t="shared" si="8"/>
        <v>12.064775076544631</v>
      </c>
    </row>
    <row r="176" spans="1:17" x14ac:dyDescent="0.3">
      <c r="A176" t="s">
        <v>329</v>
      </c>
      <c r="B176" s="2">
        <v>46082</v>
      </c>
      <c r="C176" t="s">
        <v>320</v>
      </c>
      <c r="D176" t="s">
        <v>145</v>
      </c>
      <c r="E176" t="s">
        <v>36</v>
      </c>
      <c r="F176" t="s">
        <v>41</v>
      </c>
      <c r="G176" t="s">
        <v>42</v>
      </c>
      <c r="H176" t="s">
        <v>38</v>
      </c>
      <c r="I176">
        <v>5</v>
      </c>
      <c r="J176">
        <v>26846.959999999999</v>
      </c>
      <c r="K176">
        <v>0</v>
      </c>
      <c r="L176">
        <v>134234.79999999999</v>
      </c>
      <c r="M176">
        <v>113503.14</v>
      </c>
      <c r="N176">
        <v>20731.66</v>
      </c>
      <c r="O176">
        <f t="shared" si="6"/>
        <v>134234.79999999999</v>
      </c>
      <c r="P176">
        <f t="shared" si="7"/>
        <v>0</v>
      </c>
      <c r="Q176">
        <f t="shared" si="8"/>
        <v>15.444325912505551</v>
      </c>
    </row>
    <row r="177" spans="1:17" x14ac:dyDescent="0.3">
      <c r="A177" t="s">
        <v>330</v>
      </c>
      <c r="B177" s="2">
        <v>46221</v>
      </c>
      <c r="C177" t="s">
        <v>331</v>
      </c>
      <c r="D177" t="s">
        <v>106</v>
      </c>
      <c r="E177" t="s">
        <v>90</v>
      </c>
      <c r="F177" t="s">
        <v>30</v>
      </c>
      <c r="G177" t="s">
        <v>31</v>
      </c>
      <c r="H177" t="s">
        <v>50</v>
      </c>
      <c r="I177">
        <v>2</v>
      </c>
      <c r="J177">
        <v>4629.71</v>
      </c>
      <c r="K177">
        <v>0.05</v>
      </c>
      <c r="L177">
        <v>8796.4500000000007</v>
      </c>
      <c r="M177">
        <v>6566.11</v>
      </c>
      <c r="N177">
        <v>2230.34</v>
      </c>
      <c r="O177">
        <f t="shared" si="6"/>
        <v>9259.42</v>
      </c>
      <c r="P177">
        <f t="shared" si="7"/>
        <v>462.971</v>
      </c>
      <c r="Q177">
        <f t="shared" si="8"/>
        <v>25.355001165242797</v>
      </c>
    </row>
    <row r="178" spans="1:17" x14ac:dyDescent="0.3">
      <c r="A178" t="s">
        <v>332</v>
      </c>
      <c r="B178" s="2">
        <v>46258</v>
      </c>
      <c r="C178" t="s">
        <v>277</v>
      </c>
      <c r="D178" t="s">
        <v>16</v>
      </c>
      <c r="E178" t="s">
        <v>17</v>
      </c>
      <c r="F178" t="s">
        <v>79</v>
      </c>
      <c r="G178" t="s">
        <v>31</v>
      </c>
      <c r="H178" t="s">
        <v>25</v>
      </c>
      <c r="I178">
        <v>1</v>
      </c>
      <c r="J178">
        <v>7230.86</v>
      </c>
      <c r="K178">
        <v>0</v>
      </c>
      <c r="L178">
        <v>7230.86</v>
      </c>
      <c r="M178">
        <v>5750.72</v>
      </c>
      <c r="N178">
        <v>1480.14</v>
      </c>
      <c r="O178">
        <f t="shared" si="6"/>
        <v>7230.86</v>
      </c>
      <c r="P178">
        <f t="shared" si="7"/>
        <v>0</v>
      </c>
      <c r="Q178">
        <f t="shared" si="8"/>
        <v>20.46976431572455</v>
      </c>
    </row>
    <row r="179" spans="1:17" x14ac:dyDescent="0.3">
      <c r="A179" t="s">
        <v>333</v>
      </c>
      <c r="B179" s="2">
        <v>46094</v>
      </c>
      <c r="C179" t="s">
        <v>334</v>
      </c>
      <c r="D179" t="s">
        <v>102</v>
      </c>
      <c r="E179" t="s">
        <v>29</v>
      </c>
      <c r="F179" t="s">
        <v>86</v>
      </c>
      <c r="G179" t="s">
        <v>46</v>
      </c>
      <c r="H179" t="s">
        <v>50</v>
      </c>
      <c r="I179">
        <v>2</v>
      </c>
      <c r="J179">
        <v>45464.82</v>
      </c>
      <c r="K179">
        <v>0.05</v>
      </c>
      <c r="L179">
        <v>86383.16</v>
      </c>
      <c r="M179">
        <v>76055.66</v>
      </c>
      <c r="N179">
        <v>10327.5</v>
      </c>
      <c r="O179">
        <f t="shared" si="6"/>
        <v>90929.64</v>
      </c>
      <c r="P179">
        <f t="shared" si="7"/>
        <v>4546.482</v>
      </c>
      <c r="Q179">
        <f t="shared" si="8"/>
        <v>11.955455206778728</v>
      </c>
    </row>
    <row r="180" spans="1:17" x14ac:dyDescent="0.3">
      <c r="A180" t="s">
        <v>335</v>
      </c>
      <c r="B180" s="2">
        <v>46054</v>
      </c>
      <c r="C180" t="s">
        <v>15</v>
      </c>
      <c r="D180" t="s">
        <v>102</v>
      </c>
      <c r="E180" t="s">
        <v>29</v>
      </c>
      <c r="F180" t="s">
        <v>41</v>
      </c>
      <c r="G180" t="s">
        <v>42</v>
      </c>
      <c r="H180" t="s">
        <v>69</v>
      </c>
      <c r="I180">
        <v>6</v>
      </c>
      <c r="J180">
        <v>26642.94</v>
      </c>
      <c r="K180">
        <v>0.1</v>
      </c>
      <c r="L180">
        <v>143871.88</v>
      </c>
      <c r="M180">
        <v>116980.18</v>
      </c>
      <c r="N180">
        <v>26891.7</v>
      </c>
      <c r="O180">
        <f t="shared" si="6"/>
        <v>159857.63999999998</v>
      </c>
      <c r="P180">
        <f t="shared" si="7"/>
        <v>15985.763999999999</v>
      </c>
      <c r="Q180">
        <f t="shared" si="8"/>
        <v>18.691421840042683</v>
      </c>
    </row>
    <row r="181" spans="1:17" x14ac:dyDescent="0.3">
      <c r="A181" t="s">
        <v>336</v>
      </c>
      <c r="B181" s="2">
        <v>46098</v>
      </c>
      <c r="C181" t="s">
        <v>237</v>
      </c>
      <c r="D181" t="s">
        <v>62</v>
      </c>
      <c r="E181" t="s">
        <v>24</v>
      </c>
      <c r="F181" t="s">
        <v>53</v>
      </c>
      <c r="G181" t="s">
        <v>46</v>
      </c>
      <c r="H181" t="s">
        <v>25</v>
      </c>
      <c r="I181">
        <v>4</v>
      </c>
      <c r="J181">
        <v>25072.05</v>
      </c>
      <c r="K181">
        <v>0</v>
      </c>
      <c r="L181">
        <v>100288.2</v>
      </c>
      <c r="M181">
        <v>82478.97</v>
      </c>
      <c r="N181">
        <v>17809.23</v>
      </c>
      <c r="O181">
        <f t="shared" si="6"/>
        <v>100288.2</v>
      </c>
      <c r="P181">
        <f t="shared" si="7"/>
        <v>0</v>
      </c>
      <c r="Q181">
        <f t="shared" si="8"/>
        <v>17.758051296164453</v>
      </c>
    </row>
    <row r="182" spans="1:17" x14ac:dyDescent="0.3">
      <c r="A182" t="s">
        <v>337</v>
      </c>
      <c r="B182" s="2">
        <v>46247</v>
      </c>
      <c r="C182" t="s">
        <v>338</v>
      </c>
      <c r="D182" t="s">
        <v>89</v>
      </c>
      <c r="E182" t="s">
        <v>90</v>
      </c>
      <c r="F182" t="s">
        <v>41</v>
      </c>
      <c r="G182" t="s">
        <v>42</v>
      </c>
      <c r="H182" t="s">
        <v>25</v>
      </c>
      <c r="I182">
        <v>1</v>
      </c>
      <c r="J182">
        <v>14415.05</v>
      </c>
      <c r="K182">
        <v>0.1</v>
      </c>
      <c r="L182">
        <v>12973.54</v>
      </c>
      <c r="M182">
        <v>11119.15</v>
      </c>
      <c r="N182">
        <v>1854.39</v>
      </c>
      <c r="O182">
        <f t="shared" si="6"/>
        <v>14415.05</v>
      </c>
      <c r="P182">
        <f t="shared" si="7"/>
        <v>1441.5050000000001</v>
      </c>
      <c r="Q182">
        <f t="shared" si="8"/>
        <v>14.293631499189891</v>
      </c>
    </row>
    <row r="183" spans="1:17" x14ac:dyDescent="0.3">
      <c r="A183" t="s">
        <v>339</v>
      </c>
      <c r="B183" s="2">
        <v>46188</v>
      </c>
      <c r="C183" t="s">
        <v>27</v>
      </c>
      <c r="D183" t="s">
        <v>126</v>
      </c>
      <c r="E183" t="s">
        <v>24</v>
      </c>
      <c r="F183" t="s">
        <v>37</v>
      </c>
      <c r="G183" t="s">
        <v>31</v>
      </c>
      <c r="H183" t="s">
        <v>103</v>
      </c>
      <c r="I183">
        <v>2</v>
      </c>
      <c r="J183">
        <v>7360.45</v>
      </c>
      <c r="K183">
        <v>0.1</v>
      </c>
      <c r="L183">
        <v>13248.81</v>
      </c>
      <c r="M183">
        <v>11328.5</v>
      </c>
      <c r="N183">
        <v>1920.31</v>
      </c>
      <c r="O183">
        <f t="shared" si="6"/>
        <v>14720.9</v>
      </c>
      <c r="P183">
        <f t="shared" si="7"/>
        <v>1472.0900000000001</v>
      </c>
      <c r="Q183">
        <f t="shared" si="8"/>
        <v>14.494207404287632</v>
      </c>
    </row>
    <row r="184" spans="1:17" x14ac:dyDescent="0.3">
      <c r="A184" t="s">
        <v>340</v>
      </c>
      <c r="B184" s="2">
        <v>46145</v>
      </c>
      <c r="C184" t="s">
        <v>341</v>
      </c>
      <c r="D184" t="s">
        <v>113</v>
      </c>
      <c r="E184" t="s">
        <v>17</v>
      </c>
      <c r="F184" t="s">
        <v>41</v>
      </c>
      <c r="G184" t="s">
        <v>42</v>
      </c>
      <c r="H184" t="s">
        <v>103</v>
      </c>
      <c r="I184">
        <v>7</v>
      </c>
      <c r="J184">
        <v>28469.09</v>
      </c>
      <c r="K184">
        <v>0.05</v>
      </c>
      <c r="L184">
        <v>189319.45</v>
      </c>
      <c r="M184">
        <v>163598.45000000001</v>
      </c>
      <c r="N184">
        <v>25721</v>
      </c>
      <c r="O184">
        <f t="shared" si="6"/>
        <v>199283.63</v>
      </c>
      <c r="P184">
        <f t="shared" si="7"/>
        <v>9964.1815000000006</v>
      </c>
      <c r="Q184">
        <f t="shared" si="8"/>
        <v>13.586031440509677</v>
      </c>
    </row>
    <row r="185" spans="1:17" x14ac:dyDescent="0.3">
      <c r="A185" t="s">
        <v>342</v>
      </c>
      <c r="B185" s="2">
        <v>46200</v>
      </c>
      <c r="C185" t="s">
        <v>343</v>
      </c>
      <c r="D185" t="s">
        <v>28</v>
      </c>
      <c r="E185" t="s">
        <v>29</v>
      </c>
      <c r="F185" t="s">
        <v>79</v>
      </c>
      <c r="G185" t="s">
        <v>31</v>
      </c>
      <c r="H185" t="s">
        <v>50</v>
      </c>
      <c r="I185">
        <v>3</v>
      </c>
      <c r="J185">
        <v>4866.0600000000004</v>
      </c>
      <c r="K185">
        <v>0.05</v>
      </c>
      <c r="L185">
        <v>13868.27</v>
      </c>
      <c r="M185">
        <v>11012.7</v>
      </c>
      <c r="N185">
        <v>2855.57</v>
      </c>
      <c r="O185">
        <f t="shared" si="6"/>
        <v>14598.18</v>
      </c>
      <c r="P185">
        <f t="shared" si="7"/>
        <v>729.90900000000011</v>
      </c>
      <c r="Q185">
        <f t="shared" si="8"/>
        <v>20.590672088155195</v>
      </c>
    </row>
    <row r="186" spans="1:17" x14ac:dyDescent="0.3">
      <c r="A186" t="s">
        <v>344</v>
      </c>
      <c r="B186" s="2">
        <v>46044</v>
      </c>
      <c r="C186" t="s">
        <v>345</v>
      </c>
      <c r="D186" t="s">
        <v>72</v>
      </c>
      <c r="E186" t="s">
        <v>29</v>
      </c>
      <c r="F186" t="s">
        <v>49</v>
      </c>
      <c r="G186" t="s">
        <v>46</v>
      </c>
      <c r="H186" t="s">
        <v>54</v>
      </c>
      <c r="I186">
        <v>4</v>
      </c>
      <c r="J186">
        <v>13141.11</v>
      </c>
      <c r="K186">
        <v>0.05</v>
      </c>
      <c r="L186">
        <v>49936.22</v>
      </c>
      <c r="M186">
        <v>46073.82</v>
      </c>
      <c r="N186">
        <v>3862.4</v>
      </c>
      <c r="O186">
        <f t="shared" si="6"/>
        <v>52564.44</v>
      </c>
      <c r="P186">
        <f t="shared" si="7"/>
        <v>2628.2220000000002</v>
      </c>
      <c r="Q186">
        <f t="shared" si="8"/>
        <v>7.734666340383793</v>
      </c>
    </row>
    <row r="187" spans="1:17" x14ac:dyDescent="0.3">
      <c r="A187" t="s">
        <v>346</v>
      </c>
      <c r="B187" s="2">
        <v>46034</v>
      </c>
      <c r="C187" t="s">
        <v>347</v>
      </c>
      <c r="D187" t="s">
        <v>108</v>
      </c>
      <c r="E187" t="s">
        <v>36</v>
      </c>
      <c r="F187" t="s">
        <v>41</v>
      </c>
      <c r="G187" t="s">
        <v>42</v>
      </c>
      <c r="H187" t="s">
        <v>20</v>
      </c>
      <c r="I187">
        <v>2</v>
      </c>
      <c r="J187">
        <v>26922.81</v>
      </c>
      <c r="K187">
        <v>0</v>
      </c>
      <c r="L187">
        <v>53845.62</v>
      </c>
      <c r="M187">
        <v>45422.99</v>
      </c>
      <c r="N187">
        <v>8422.6299999999992</v>
      </c>
      <c r="O187">
        <f t="shared" si="6"/>
        <v>53845.62</v>
      </c>
      <c r="P187">
        <f t="shared" si="7"/>
        <v>0</v>
      </c>
      <c r="Q187">
        <f t="shared" si="8"/>
        <v>15.642182223920903</v>
      </c>
    </row>
    <row r="188" spans="1:17" x14ac:dyDescent="0.3">
      <c r="A188" t="s">
        <v>348</v>
      </c>
      <c r="B188" s="2">
        <v>46141</v>
      </c>
      <c r="C188" t="s">
        <v>349</v>
      </c>
      <c r="D188" t="s">
        <v>85</v>
      </c>
      <c r="E188" t="s">
        <v>17</v>
      </c>
      <c r="F188" t="s">
        <v>57</v>
      </c>
      <c r="G188" t="s">
        <v>19</v>
      </c>
      <c r="H188" t="s">
        <v>20</v>
      </c>
      <c r="I188">
        <v>4</v>
      </c>
      <c r="J188">
        <v>5742.25</v>
      </c>
      <c r="K188">
        <v>0.05</v>
      </c>
      <c r="L188">
        <v>21820.55</v>
      </c>
      <c r="M188">
        <v>16009.65</v>
      </c>
      <c r="N188">
        <v>5810.9</v>
      </c>
      <c r="O188">
        <f t="shared" si="6"/>
        <v>22969</v>
      </c>
      <c r="P188">
        <f t="shared" si="7"/>
        <v>1148.45</v>
      </c>
      <c r="Q188">
        <f t="shared" si="8"/>
        <v>26.630401158540916</v>
      </c>
    </row>
    <row r="189" spans="1:17" x14ac:dyDescent="0.3">
      <c r="A189" t="s">
        <v>350</v>
      </c>
      <c r="B189" s="2">
        <v>46081</v>
      </c>
      <c r="C189" t="s">
        <v>237</v>
      </c>
      <c r="D189" t="s">
        <v>106</v>
      </c>
      <c r="E189" t="s">
        <v>90</v>
      </c>
      <c r="F189" t="s">
        <v>37</v>
      </c>
      <c r="G189" t="s">
        <v>31</v>
      </c>
      <c r="H189" t="s">
        <v>54</v>
      </c>
      <c r="I189">
        <v>5</v>
      </c>
      <c r="J189">
        <v>4927.72</v>
      </c>
      <c r="K189">
        <v>0</v>
      </c>
      <c r="L189">
        <v>24638.6</v>
      </c>
      <c r="M189">
        <v>21098.57</v>
      </c>
      <c r="N189">
        <v>3540.03</v>
      </c>
      <c r="O189">
        <f t="shared" si="6"/>
        <v>24638.600000000002</v>
      </c>
      <c r="P189">
        <f t="shared" si="7"/>
        <v>0</v>
      </c>
      <c r="Q189">
        <f t="shared" si="8"/>
        <v>14.367821223608484</v>
      </c>
    </row>
    <row r="190" spans="1:17" x14ac:dyDescent="0.3">
      <c r="A190" t="s">
        <v>351</v>
      </c>
      <c r="B190" s="2">
        <v>46235</v>
      </c>
      <c r="C190" t="s">
        <v>172</v>
      </c>
      <c r="D190" t="s">
        <v>35</v>
      </c>
      <c r="E190" t="s">
        <v>36</v>
      </c>
      <c r="F190" t="s">
        <v>37</v>
      </c>
      <c r="G190" t="s">
        <v>31</v>
      </c>
      <c r="H190" t="s">
        <v>38</v>
      </c>
      <c r="I190">
        <v>4</v>
      </c>
      <c r="J190">
        <v>7813.01</v>
      </c>
      <c r="K190">
        <v>0.05</v>
      </c>
      <c r="L190">
        <v>29689.439999999999</v>
      </c>
      <c r="M190">
        <v>22913.06</v>
      </c>
      <c r="N190">
        <v>6776.38</v>
      </c>
      <c r="O190">
        <f t="shared" si="6"/>
        <v>31252.04</v>
      </c>
      <c r="P190">
        <f t="shared" si="7"/>
        <v>1562.6020000000001</v>
      </c>
      <c r="Q190">
        <f t="shared" si="8"/>
        <v>22.824209550601157</v>
      </c>
    </row>
    <row r="191" spans="1:17" x14ac:dyDescent="0.3">
      <c r="A191" t="s">
        <v>352</v>
      </c>
      <c r="B191" s="2">
        <v>46174</v>
      </c>
      <c r="C191" t="s">
        <v>353</v>
      </c>
      <c r="D191" t="s">
        <v>123</v>
      </c>
      <c r="E191" t="s">
        <v>90</v>
      </c>
      <c r="F191" t="s">
        <v>86</v>
      </c>
      <c r="G191" t="s">
        <v>46</v>
      </c>
      <c r="H191" t="s">
        <v>54</v>
      </c>
      <c r="I191">
        <v>1</v>
      </c>
      <c r="J191">
        <v>65559.83</v>
      </c>
      <c r="K191">
        <v>0</v>
      </c>
      <c r="L191">
        <v>65559.83</v>
      </c>
      <c r="M191">
        <v>55560.27</v>
      </c>
      <c r="N191">
        <v>9999.56</v>
      </c>
      <c r="O191">
        <f t="shared" si="6"/>
        <v>65559.83</v>
      </c>
      <c r="P191">
        <f t="shared" si="7"/>
        <v>0</v>
      </c>
      <c r="Q191">
        <f t="shared" si="8"/>
        <v>15.252571582324116</v>
      </c>
    </row>
    <row r="192" spans="1:17" x14ac:dyDescent="0.3">
      <c r="A192" t="s">
        <v>354</v>
      </c>
      <c r="B192" s="2">
        <v>46284</v>
      </c>
      <c r="C192" t="s">
        <v>40</v>
      </c>
      <c r="D192" t="s">
        <v>126</v>
      </c>
      <c r="E192" t="s">
        <v>24</v>
      </c>
      <c r="F192" t="s">
        <v>37</v>
      </c>
      <c r="G192" t="s">
        <v>31</v>
      </c>
      <c r="H192" t="s">
        <v>103</v>
      </c>
      <c r="I192">
        <v>2</v>
      </c>
      <c r="J192">
        <v>9933.1299999999992</v>
      </c>
      <c r="K192">
        <v>0.1</v>
      </c>
      <c r="L192">
        <v>17879.63</v>
      </c>
      <c r="M192">
        <v>14924.49</v>
      </c>
      <c r="N192">
        <v>2955.14</v>
      </c>
      <c r="O192">
        <f t="shared" si="6"/>
        <v>19866.259999999998</v>
      </c>
      <c r="P192">
        <f t="shared" si="7"/>
        <v>1986.626</v>
      </c>
      <c r="Q192">
        <f t="shared" si="8"/>
        <v>16.527970657110913</v>
      </c>
    </row>
    <row r="193" spans="1:17" x14ac:dyDescent="0.3">
      <c r="A193" t="s">
        <v>355</v>
      </c>
      <c r="B193" s="2">
        <v>46043</v>
      </c>
      <c r="C193" t="s">
        <v>52</v>
      </c>
      <c r="D193" t="s">
        <v>35</v>
      </c>
      <c r="E193" t="s">
        <v>36</v>
      </c>
      <c r="F193" t="s">
        <v>86</v>
      </c>
      <c r="G193" t="s">
        <v>46</v>
      </c>
      <c r="H193" t="s">
        <v>50</v>
      </c>
      <c r="I193">
        <v>4</v>
      </c>
      <c r="J193">
        <v>50262.71</v>
      </c>
      <c r="K193">
        <v>0.1</v>
      </c>
      <c r="L193">
        <v>180945.76</v>
      </c>
      <c r="M193">
        <v>163218.81</v>
      </c>
      <c r="N193">
        <v>17726.95</v>
      </c>
      <c r="O193">
        <f t="shared" si="6"/>
        <v>201050.84</v>
      </c>
      <c r="P193">
        <f t="shared" si="7"/>
        <v>20105.084000000003</v>
      </c>
      <c r="Q193">
        <f t="shared" si="8"/>
        <v>9.79683082930487</v>
      </c>
    </row>
    <row r="194" spans="1:17" x14ac:dyDescent="0.3">
      <c r="A194" t="s">
        <v>356</v>
      </c>
      <c r="B194" s="2">
        <v>46024</v>
      </c>
      <c r="C194" t="s">
        <v>357</v>
      </c>
      <c r="D194" t="s">
        <v>126</v>
      </c>
      <c r="E194" t="s">
        <v>24</v>
      </c>
      <c r="F194" t="s">
        <v>30</v>
      </c>
      <c r="G194" t="s">
        <v>31</v>
      </c>
      <c r="H194" t="s">
        <v>54</v>
      </c>
      <c r="I194">
        <v>5</v>
      </c>
      <c r="J194">
        <v>4388.42</v>
      </c>
      <c r="K194">
        <v>0</v>
      </c>
      <c r="L194">
        <v>21942.1</v>
      </c>
      <c r="M194">
        <v>18372.97</v>
      </c>
      <c r="N194">
        <v>3569.13</v>
      </c>
      <c r="O194">
        <f t="shared" si="6"/>
        <v>21942.1</v>
      </c>
      <c r="P194">
        <f t="shared" si="7"/>
        <v>0</v>
      </c>
      <c r="Q194">
        <f t="shared" si="8"/>
        <v>16.266127672374115</v>
      </c>
    </row>
    <row r="195" spans="1:17" x14ac:dyDescent="0.3">
      <c r="A195" t="s">
        <v>358</v>
      </c>
      <c r="B195" s="2">
        <v>46036</v>
      </c>
      <c r="C195" t="s">
        <v>138</v>
      </c>
      <c r="D195" t="s">
        <v>23</v>
      </c>
      <c r="E195" t="s">
        <v>24</v>
      </c>
      <c r="F195" t="s">
        <v>57</v>
      </c>
      <c r="G195" t="s">
        <v>19</v>
      </c>
      <c r="H195" t="s">
        <v>69</v>
      </c>
      <c r="I195">
        <v>2</v>
      </c>
      <c r="J195">
        <v>11106.97</v>
      </c>
      <c r="K195">
        <v>0</v>
      </c>
      <c r="L195">
        <v>22213.94</v>
      </c>
      <c r="M195">
        <v>16477.080000000002</v>
      </c>
      <c r="N195">
        <v>5736.86</v>
      </c>
      <c r="O195">
        <f t="shared" ref="O195:O258" si="9">I195*J195</f>
        <v>22213.94</v>
      </c>
      <c r="P195">
        <f t="shared" ref="P195:P258" si="10">O195*K195</f>
        <v>0</v>
      </c>
      <c r="Q195">
        <f t="shared" ref="Q195:Q258" si="11">N195/L195*100</f>
        <v>25.825495162046895</v>
      </c>
    </row>
    <row r="196" spans="1:17" x14ac:dyDescent="0.3">
      <c r="A196" t="s">
        <v>359</v>
      </c>
      <c r="B196" s="2">
        <v>46050</v>
      </c>
      <c r="C196" t="s">
        <v>204</v>
      </c>
      <c r="D196" t="s">
        <v>123</v>
      </c>
      <c r="E196" t="s">
        <v>90</v>
      </c>
      <c r="F196" t="s">
        <v>49</v>
      </c>
      <c r="G196" t="s">
        <v>46</v>
      </c>
      <c r="H196" t="s">
        <v>54</v>
      </c>
      <c r="I196">
        <v>7</v>
      </c>
      <c r="J196">
        <v>30388.63</v>
      </c>
      <c r="K196">
        <v>0.05</v>
      </c>
      <c r="L196">
        <v>202084.39</v>
      </c>
      <c r="M196">
        <v>177049.32</v>
      </c>
      <c r="N196">
        <v>25035.07</v>
      </c>
      <c r="O196">
        <f t="shared" si="9"/>
        <v>212720.41</v>
      </c>
      <c r="P196">
        <f t="shared" si="10"/>
        <v>10636.020500000001</v>
      </c>
      <c r="Q196">
        <f t="shared" si="11"/>
        <v>12.388423470016658</v>
      </c>
    </row>
    <row r="197" spans="1:17" x14ac:dyDescent="0.3">
      <c r="A197" t="s">
        <v>360</v>
      </c>
      <c r="B197" s="2">
        <v>46032</v>
      </c>
      <c r="C197" t="s">
        <v>361</v>
      </c>
      <c r="D197" t="s">
        <v>106</v>
      </c>
      <c r="E197" t="s">
        <v>90</v>
      </c>
      <c r="F197" t="s">
        <v>53</v>
      </c>
      <c r="G197" t="s">
        <v>46</v>
      </c>
      <c r="H197" t="s">
        <v>69</v>
      </c>
      <c r="I197">
        <v>2</v>
      </c>
      <c r="J197">
        <v>13413.71</v>
      </c>
      <c r="K197">
        <v>0</v>
      </c>
      <c r="L197">
        <v>26827.42</v>
      </c>
      <c r="M197">
        <v>22348.880000000001</v>
      </c>
      <c r="N197">
        <v>4478.54</v>
      </c>
      <c r="O197">
        <f t="shared" si="9"/>
        <v>26827.42</v>
      </c>
      <c r="P197">
        <f t="shared" si="10"/>
        <v>0</v>
      </c>
      <c r="Q197">
        <f t="shared" si="11"/>
        <v>16.693890057262308</v>
      </c>
    </row>
    <row r="198" spans="1:17" x14ac:dyDescent="0.3">
      <c r="A198" t="s">
        <v>362</v>
      </c>
      <c r="B198" s="2">
        <v>46155</v>
      </c>
      <c r="C198" t="s">
        <v>162</v>
      </c>
      <c r="D198" t="s">
        <v>16</v>
      </c>
      <c r="E198" t="s">
        <v>17</v>
      </c>
      <c r="F198" t="s">
        <v>18</v>
      </c>
      <c r="G198" t="s">
        <v>19</v>
      </c>
      <c r="H198" t="s">
        <v>69</v>
      </c>
      <c r="I198">
        <v>1</v>
      </c>
      <c r="J198">
        <v>19960.04</v>
      </c>
      <c r="K198">
        <v>0</v>
      </c>
      <c r="L198">
        <v>19960.04</v>
      </c>
      <c r="M198">
        <v>15905.95</v>
      </c>
      <c r="N198">
        <v>4054.09</v>
      </c>
      <c r="O198">
        <f t="shared" si="9"/>
        <v>19960.04</v>
      </c>
      <c r="P198">
        <f t="shared" si="10"/>
        <v>0</v>
      </c>
      <c r="Q198">
        <f t="shared" si="11"/>
        <v>20.311031440818756</v>
      </c>
    </row>
    <row r="199" spans="1:17" x14ac:dyDescent="0.3">
      <c r="A199" t="s">
        <v>363</v>
      </c>
      <c r="B199" s="2">
        <v>46129</v>
      </c>
      <c r="C199" t="s">
        <v>44</v>
      </c>
      <c r="D199" t="s">
        <v>85</v>
      </c>
      <c r="E199" t="s">
        <v>17</v>
      </c>
      <c r="F199" t="s">
        <v>30</v>
      </c>
      <c r="G199" t="s">
        <v>31</v>
      </c>
      <c r="H199" t="s">
        <v>54</v>
      </c>
      <c r="I199">
        <v>1</v>
      </c>
      <c r="J199">
        <v>3040.75</v>
      </c>
      <c r="K199">
        <v>0.1</v>
      </c>
      <c r="L199">
        <v>2736.68</v>
      </c>
      <c r="M199">
        <v>2039.55</v>
      </c>
      <c r="N199">
        <v>697.13</v>
      </c>
      <c r="O199">
        <f t="shared" si="9"/>
        <v>3040.75</v>
      </c>
      <c r="P199">
        <f t="shared" si="10"/>
        <v>304.07499999999999</v>
      </c>
      <c r="Q199">
        <f t="shared" si="11"/>
        <v>25.47356651124721</v>
      </c>
    </row>
    <row r="200" spans="1:17" x14ac:dyDescent="0.3">
      <c r="A200" t="s">
        <v>364</v>
      </c>
      <c r="B200" s="2">
        <v>46130</v>
      </c>
      <c r="C200" t="s">
        <v>365</v>
      </c>
      <c r="D200" t="s">
        <v>102</v>
      </c>
      <c r="E200" t="s">
        <v>29</v>
      </c>
      <c r="F200" t="s">
        <v>79</v>
      </c>
      <c r="G200" t="s">
        <v>31</v>
      </c>
      <c r="H200" t="s">
        <v>20</v>
      </c>
      <c r="I200">
        <v>2</v>
      </c>
      <c r="J200">
        <v>4113.3</v>
      </c>
      <c r="K200">
        <v>0</v>
      </c>
      <c r="L200">
        <v>8226.6</v>
      </c>
      <c r="M200">
        <v>6992.22</v>
      </c>
      <c r="N200">
        <v>1234.3800000000001</v>
      </c>
      <c r="O200">
        <f t="shared" si="9"/>
        <v>8226.6</v>
      </c>
      <c r="P200">
        <f t="shared" si="10"/>
        <v>0</v>
      </c>
      <c r="Q200">
        <f t="shared" si="11"/>
        <v>15.004740719130627</v>
      </c>
    </row>
    <row r="201" spans="1:17" x14ac:dyDescent="0.3">
      <c r="A201" t="s">
        <v>366</v>
      </c>
      <c r="B201" s="2">
        <v>46023</v>
      </c>
      <c r="C201" t="s">
        <v>345</v>
      </c>
      <c r="D201" t="s">
        <v>126</v>
      </c>
      <c r="E201" t="s">
        <v>24</v>
      </c>
      <c r="F201" t="s">
        <v>49</v>
      </c>
      <c r="G201" t="s">
        <v>46</v>
      </c>
      <c r="H201" t="s">
        <v>25</v>
      </c>
      <c r="I201">
        <v>5</v>
      </c>
      <c r="J201">
        <v>24661.57</v>
      </c>
      <c r="K201">
        <v>0</v>
      </c>
      <c r="L201">
        <v>123307.85</v>
      </c>
      <c r="M201">
        <v>113529.81</v>
      </c>
      <c r="N201">
        <v>9778.0400000000009</v>
      </c>
      <c r="O201">
        <f t="shared" si="9"/>
        <v>123307.85</v>
      </c>
      <c r="P201">
        <f t="shared" si="10"/>
        <v>0</v>
      </c>
      <c r="Q201">
        <f t="shared" si="11"/>
        <v>7.9297790043375187</v>
      </c>
    </row>
    <row r="202" spans="1:17" x14ac:dyDescent="0.3">
      <c r="A202" t="s">
        <v>367</v>
      </c>
      <c r="B202" s="2">
        <v>46203</v>
      </c>
      <c r="C202" t="s">
        <v>122</v>
      </c>
      <c r="D202" t="s">
        <v>123</v>
      </c>
      <c r="E202" t="s">
        <v>90</v>
      </c>
      <c r="F202" t="s">
        <v>18</v>
      </c>
      <c r="G202" t="s">
        <v>19</v>
      </c>
      <c r="H202" t="s">
        <v>54</v>
      </c>
      <c r="I202">
        <v>6</v>
      </c>
      <c r="J202">
        <v>21405.32</v>
      </c>
      <c r="K202">
        <v>0.15</v>
      </c>
      <c r="L202">
        <v>109167.13</v>
      </c>
      <c r="M202">
        <v>83327.88</v>
      </c>
      <c r="N202">
        <v>25839.25</v>
      </c>
      <c r="O202">
        <f t="shared" si="9"/>
        <v>128431.92</v>
      </c>
      <c r="P202">
        <f t="shared" si="10"/>
        <v>19264.788</v>
      </c>
      <c r="Q202">
        <f t="shared" si="11"/>
        <v>23.669441525118412</v>
      </c>
    </row>
    <row r="203" spans="1:17" x14ac:dyDescent="0.3">
      <c r="A203" t="s">
        <v>368</v>
      </c>
      <c r="B203" s="2">
        <v>46206</v>
      </c>
      <c r="C203" t="s">
        <v>204</v>
      </c>
      <c r="D203" t="s">
        <v>35</v>
      </c>
      <c r="E203" t="s">
        <v>36</v>
      </c>
      <c r="F203" t="s">
        <v>45</v>
      </c>
      <c r="G203" t="s">
        <v>46</v>
      </c>
      <c r="H203" t="s">
        <v>38</v>
      </c>
      <c r="I203">
        <v>6</v>
      </c>
      <c r="J203">
        <v>32132.67</v>
      </c>
      <c r="K203">
        <v>0</v>
      </c>
      <c r="L203">
        <v>192796.02</v>
      </c>
      <c r="M203">
        <v>180708.17</v>
      </c>
      <c r="N203">
        <v>12087.85</v>
      </c>
      <c r="O203">
        <f t="shared" si="9"/>
        <v>192796.02</v>
      </c>
      <c r="P203">
        <f t="shared" si="10"/>
        <v>0</v>
      </c>
      <c r="Q203">
        <f t="shared" si="11"/>
        <v>6.2697611703810079</v>
      </c>
    </row>
    <row r="204" spans="1:17" x14ac:dyDescent="0.3">
      <c r="A204" t="s">
        <v>369</v>
      </c>
      <c r="B204" s="2">
        <v>46256</v>
      </c>
      <c r="C204" t="s">
        <v>370</v>
      </c>
      <c r="D204" t="s">
        <v>28</v>
      </c>
      <c r="E204" t="s">
        <v>29</v>
      </c>
      <c r="F204" t="s">
        <v>57</v>
      </c>
      <c r="G204" t="s">
        <v>19</v>
      </c>
      <c r="H204" t="s">
        <v>50</v>
      </c>
      <c r="I204">
        <v>5</v>
      </c>
      <c r="J204">
        <v>7760.49</v>
      </c>
      <c r="K204">
        <v>0</v>
      </c>
      <c r="L204">
        <v>38802.449999999997</v>
      </c>
      <c r="M204">
        <v>28686.18</v>
      </c>
      <c r="N204">
        <v>10116.27</v>
      </c>
      <c r="O204">
        <f t="shared" si="9"/>
        <v>38802.449999999997</v>
      </c>
      <c r="P204">
        <f t="shared" si="10"/>
        <v>0</v>
      </c>
      <c r="Q204">
        <f t="shared" si="11"/>
        <v>26.071214575368312</v>
      </c>
    </row>
    <row r="205" spans="1:17" x14ac:dyDescent="0.3">
      <c r="A205" t="s">
        <v>371</v>
      </c>
      <c r="B205" s="2">
        <v>46027</v>
      </c>
      <c r="C205" t="s">
        <v>120</v>
      </c>
      <c r="D205" t="s">
        <v>35</v>
      </c>
      <c r="E205" t="s">
        <v>36</v>
      </c>
      <c r="F205" t="s">
        <v>53</v>
      </c>
      <c r="G205" t="s">
        <v>46</v>
      </c>
      <c r="H205" t="s">
        <v>25</v>
      </c>
      <c r="I205">
        <v>1</v>
      </c>
      <c r="J205">
        <v>15637.97</v>
      </c>
      <c r="K205">
        <v>0.1</v>
      </c>
      <c r="L205">
        <v>14074.17</v>
      </c>
      <c r="M205">
        <v>11337.29</v>
      </c>
      <c r="N205">
        <v>2736.88</v>
      </c>
      <c r="O205">
        <f t="shared" si="9"/>
        <v>15637.97</v>
      </c>
      <c r="P205">
        <f t="shared" si="10"/>
        <v>1563.797</v>
      </c>
      <c r="Q205">
        <f t="shared" si="11"/>
        <v>19.446120090918328</v>
      </c>
    </row>
    <row r="206" spans="1:17" x14ac:dyDescent="0.3">
      <c r="A206" t="s">
        <v>372</v>
      </c>
      <c r="B206" s="2">
        <v>46167</v>
      </c>
      <c r="C206" t="s">
        <v>116</v>
      </c>
      <c r="D206" t="s">
        <v>72</v>
      </c>
      <c r="E206" t="s">
        <v>29</v>
      </c>
      <c r="F206" t="s">
        <v>18</v>
      </c>
      <c r="G206" t="s">
        <v>19</v>
      </c>
      <c r="H206" t="s">
        <v>38</v>
      </c>
      <c r="I206">
        <v>1</v>
      </c>
      <c r="J206">
        <v>25156.79</v>
      </c>
      <c r="K206">
        <v>0</v>
      </c>
      <c r="L206">
        <v>25156.79</v>
      </c>
      <c r="M206">
        <v>18321.34</v>
      </c>
      <c r="N206">
        <v>6835.45</v>
      </c>
      <c r="O206">
        <f t="shared" si="9"/>
        <v>25156.79</v>
      </c>
      <c r="P206">
        <f t="shared" si="10"/>
        <v>0</v>
      </c>
      <c r="Q206">
        <f t="shared" si="11"/>
        <v>27.171391898568931</v>
      </c>
    </row>
    <row r="207" spans="1:17" x14ac:dyDescent="0.3">
      <c r="A207" t="s">
        <v>373</v>
      </c>
      <c r="B207" s="2">
        <v>46023</v>
      </c>
      <c r="C207" t="s">
        <v>206</v>
      </c>
      <c r="D207" t="s">
        <v>106</v>
      </c>
      <c r="E207" t="s">
        <v>90</v>
      </c>
      <c r="F207" t="s">
        <v>30</v>
      </c>
      <c r="G207" t="s">
        <v>31</v>
      </c>
      <c r="H207" t="s">
        <v>69</v>
      </c>
      <c r="I207">
        <v>1</v>
      </c>
      <c r="J207">
        <v>3601.28</v>
      </c>
      <c r="K207">
        <v>0</v>
      </c>
      <c r="L207">
        <v>3601.28</v>
      </c>
      <c r="M207">
        <v>2753.11</v>
      </c>
      <c r="N207">
        <v>848.17</v>
      </c>
      <c r="O207">
        <f t="shared" si="9"/>
        <v>3601.28</v>
      </c>
      <c r="P207">
        <f t="shared" si="10"/>
        <v>0</v>
      </c>
      <c r="Q207">
        <f t="shared" si="11"/>
        <v>23.551903767549312</v>
      </c>
    </row>
    <row r="208" spans="1:17" x14ac:dyDescent="0.3">
      <c r="A208" t="s">
        <v>374</v>
      </c>
      <c r="B208" s="2">
        <v>46183</v>
      </c>
      <c r="C208" t="s">
        <v>88</v>
      </c>
      <c r="D208" t="s">
        <v>62</v>
      </c>
      <c r="E208" t="s">
        <v>24</v>
      </c>
      <c r="F208" t="s">
        <v>41</v>
      </c>
      <c r="G208" t="s">
        <v>42</v>
      </c>
      <c r="H208" t="s">
        <v>25</v>
      </c>
      <c r="I208">
        <v>1</v>
      </c>
      <c r="J208">
        <v>26898.080000000002</v>
      </c>
      <c r="K208">
        <v>0</v>
      </c>
      <c r="L208">
        <v>26898.080000000002</v>
      </c>
      <c r="M208">
        <v>23276.46</v>
      </c>
      <c r="N208">
        <v>3621.62</v>
      </c>
      <c r="O208">
        <f t="shared" si="9"/>
        <v>26898.080000000002</v>
      </c>
      <c r="P208">
        <f t="shared" si="10"/>
        <v>0</v>
      </c>
      <c r="Q208">
        <f t="shared" si="11"/>
        <v>13.464232391308226</v>
      </c>
    </row>
    <row r="209" spans="1:17" x14ac:dyDescent="0.3">
      <c r="A209" t="s">
        <v>375</v>
      </c>
      <c r="B209" s="2">
        <v>46124</v>
      </c>
      <c r="C209" t="s">
        <v>313</v>
      </c>
      <c r="D209" t="s">
        <v>145</v>
      </c>
      <c r="E209" t="s">
        <v>36</v>
      </c>
      <c r="F209" t="s">
        <v>79</v>
      </c>
      <c r="G209" t="s">
        <v>31</v>
      </c>
      <c r="H209" t="s">
        <v>32</v>
      </c>
      <c r="I209">
        <v>6</v>
      </c>
      <c r="J209">
        <v>8410.01</v>
      </c>
      <c r="K209">
        <v>0.1</v>
      </c>
      <c r="L209">
        <v>45414.05</v>
      </c>
      <c r="M209">
        <v>34781.449999999997</v>
      </c>
      <c r="N209">
        <v>10632.6</v>
      </c>
      <c r="O209">
        <f t="shared" si="9"/>
        <v>50460.06</v>
      </c>
      <c r="P209">
        <f t="shared" si="10"/>
        <v>5046.0060000000003</v>
      </c>
      <c r="Q209">
        <f t="shared" si="11"/>
        <v>23.412578265977157</v>
      </c>
    </row>
    <row r="210" spans="1:17" x14ac:dyDescent="0.3">
      <c r="A210" t="s">
        <v>376</v>
      </c>
      <c r="B210" s="2">
        <v>46151</v>
      </c>
      <c r="C210" t="s">
        <v>74</v>
      </c>
      <c r="D210" t="s">
        <v>23</v>
      </c>
      <c r="E210" t="s">
        <v>24</v>
      </c>
      <c r="F210" t="s">
        <v>53</v>
      </c>
      <c r="G210" t="s">
        <v>46</v>
      </c>
      <c r="H210" t="s">
        <v>20</v>
      </c>
      <c r="I210">
        <v>5</v>
      </c>
      <c r="J210">
        <v>25875.94</v>
      </c>
      <c r="K210">
        <v>0</v>
      </c>
      <c r="L210">
        <v>129379.7</v>
      </c>
      <c r="M210">
        <v>111700.46</v>
      </c>
      <c r="N210">
        <v>17679.240000000002</v>
      </c>
      <c r="O210">
        <f t="shared" si="9"/>
        <v>129379.7</v>
      </c>
      <c r="P210">
        <f t="shared" si="10"/>
        <v>0</v>
      </c>
      <c r="Q210">
        <f t="shared" si="11"/>
        <v>13.66461662842007</v>
      </c>
    </row>
    <row r="211" spans="1:17" x14ac:dyDescent="0.3">
      <c r="A211" t="s">
        <v>377</v>
      </c>
      <c r="B211" s="2">
        <v>46115</v>
      </c>
      <c r="C211" t="s">
        <v>186</v>
      </c>
      <c r="D211" t="s">
        <v>62</v>
      </c>
      <c r="E211" t="s">
        <v>24</v>
      </c>
      <c r="F211" t="s">
        <v>86</v>
      </c>
      <c r="G211" t="s">
        <v>46</v>
      </c>
      <c r="H211" t="s">
        <v>32</v>
      </c>
      <c r="I211">
        <v>1</v>
      </c>
      <c r="J211">
        <v>54501.77</v>
      </c>
      <c r="K211">
        <v>0</v>
      </c>
      <c r="L211">
        <v>54501.77</v>
      </c>
      <c r="M211">
        <v>50061.69</v>
      </c>
      <c r="N211">
        <v>4440.08</v>
      </c>
      <c r="O211">
        <f t="shared" si="9"/>
        <v>54501.77</v>
      </c>
      <c r="P211">
        <f t="shared" si="10"/>
        <v>0</v>
      </c>
      <c r="Q211">
        <f t="shared" si="11"/>
        <v>8.1466711998527757</v>
      </c>
    </row>
    <row r="212" spans="1:17" x14ac:dyDescent="0.3">
      <c r="A212" t="s">
        <v>378</v>
      </c>
      <c r="B212" s="2">
        <v>46132</v>
      </c>
      <c r="C212" t="s">
        <v>379</v>
      </c>
      <c r="D212" t="s">
        <v>145</v>
      </c>
      <c r="E212" t="s">
        <v>36</v>
      </c>
      <c r="F212" t="s">
        <v>37</v>
      </c>
      <c r="G212" t="s">
        <v>31</v>
      </c>
      <c r="H212" t="s">
        <v>25</v>
      </c>
      <c r="I212">
        <v>1</v>
      </c>
      <c r="J212">
        <v>7954.43</v>
      </c>
      <c r="K212">
        <v>0</v>
      </c>
      <c r="L212">
        <v>7954.43</v>
      </c>
      <c r="M212">
        <v>6016.73</v>
      </c>
      <c r="N212">
        <v>1937.7</v>
      </c>
      <c r="O212">
        <f t="shared" si="9"/>
        <v>7954.43</v>
      </c>
      <c r="P212">
        <f t="shared" si="10"/>
        <v>0</v>
      </c>
      <c r="Q212">
        <f t="shared" si="11"/>
        <v>24.360010711012606</v>
      </c>
    </row>
    <row r="213" spans="1:17" x14ac:dyDescent="0.3">
      <c r="A213" t="s">
        <v>380</v>
      </c>
      <c r="B213" s="2">
        <v>46139</v>
      </c>
      <c r="C213" t="s">
        <v>176</v>
      </c>
      <c r="D213" t="s">
        <v>108</v>
      </c>
      <c r="E213" t="s">
        <v>36</v>
      </c>
      <c r="F213" t="s">
        <v>37</v>
      </c>
      <c r="G213" t="s">
        <v>31</v>
      </c>
      <c r="H213" t="s">
        <v>38</v>
      </c>
      <c r="I213">
        <v>5</v>
      </c>
      <c r="J213">
        <v>2425.81</v>
      </c>
      <c r="L213">
        <v>12129.05</v>
      </c>
      <c r="M213">
        <v>9586.5499999999993</v>
      </c>
      <c r="N213">
        <v>2542.5</v>
      </c>
      <c r="O213">
        <f t="shared" si="9"/>
        <v>12129.05</v>
      </c>
      <c r="P213">
        <f t="shared" si="10"/>
        <v>0</v>
      </c>
      <c r="Q213">
        <f t="shared" si="11"/>
        <v>20.962070401226807</v>
      </c>
    </row>
    <row r="214" spans="1:17" x14ac:dyDescent="0.3">
      <c r="A214" t="s">
        <v>381</v>
      </c>
      <c r="B214" s="2">
        <v>46293</v>
      </c>
      <c r="C214" t="s">
        <v>112</v>
      </c>
      <c r="D214" t="s">
        <v>102</v>
      </c>
      <c r="E214" t="s">
        <v>29</v>
      </c>
      <c r="F214" t="s">
        <v>57</v>
      </c>
      <c r="G214" t="s">
        <v>19</v>
      </c>
      <c r="H214" t="s">
        <v>54</v>
      </c>
      <c r="I214">
        <v>2</v>
      </c>
      <c r="J214">
        <v>18820.759999999998</v>
      </c>
      <c r="K214">
        <v>0.05</v>
      </c>
      <c r="L214">
        <v>35759.440000000002</v>
      </c>
      <c r="M214">
        <v>27086.06</v>
      </c>
      <c r="N214">
        <v>8673.3799999999992</v>
      </c>
      <c r="O214">
        <f t="shared" si="9"/>
        <v>37641.519999999997</v>
      </c>
      <c r="P214">
        <f t="shared" si="10"/>
        <v>1882.076</v>
      </c>
      <c r="Q214">
        <f t="shared" si="11"/>
        <v>24.254798173573182</v>
      </c>
    </row>
    <row r="215" spans="1:17" x14ac:dyDescent="0.3">
      <c r="A215" t="s">
        <v>382</v>
      </c>
      <c r="B215" s="2">
        <v>46129</v>
      </c>
      <c r="C215" t="s">
        <v>88</v>
      </c>
      <c r="D215" t="s">
        <v>126</v>
      </c>
      <c r="E215" t="s">
        <v>24</v>
      </c>
      <c r="F215" t="s">
        <v>30</v>
      </c>
      <c r="G215" t="s">
        <v>31</v>
      </c>
      <c r="H215" t="s">
        <v>20</v>
      </c>
      <c r="I215">
        <v>1</v>
      </c>
      <c r="J215">
        <v>4571.7299999999996</v>
      </c>
      <c r="K215">
        <v>0.05</v>
      </c>
      <c r="L215">
        <v>4343.1400000000003</v>
      </c>
      <c r="M215">
        <v>3477.08</v>
      </c>
      <c r="N215">
        <v>866.06</v>
      </c>
      <c r="O215">
        <f t="shared" si="9"/>
        <v>4571.7299999999996</v>
      </c>
      <c r="P215">
        <f t="shared" si="10"/>
        <v>228.5865</v>
      </c>
      <c r="Q215">
        <f t="shared" si="11"/>
        <v>19.940872272134904</v>
      </c>
    </row>
    <row r="216" spans="1:17" x14ac:dyDescent="0.3">
      <c r="A216" t="s">
        <v>383</v>
      </c>
      <c r="B216" s="2">
        <v>46163</v>
      </c>
      <c r="C216" t="s">
        <v>328</v>
      </c>
      <c r="D216" t="s">
        <v>113</v>
      </c>
      <c r="E216" t="s">
        <v>17</v>
      </c>
      <c r="F216" t="s">
        <v>49</v>
      </c>
      <c r="G216" t="s">
        <v>46</v>
      </c>
      <c r="H216" t="s">
        <v>20</v>
      </c>
      <c r="I216">
        <v>5</v>
      </c>
      <c r="J216">
        <v>14839.78</v>
      </c>
      <c r="K216">
        <v>0.05</v>
      </c>
      <c r="L216">
        <v>70488.960000000006</v>
      </c>
      <c r="M216">
        <v>62236.28</v>
      </c>
      <c r="N216">
        <v>8252.68</v>
      </c>
      <c r="O216">
        <f t="shared" si="9"/>
        <v>74198.900000000009</v>
      </c>
      <c r="P216">
        <f t="shared" si="10"/>
        <v>3709.9450000000006</v>
      </c>
      <c r="Q216">
        <f t="shared" si="11"/>
        <v>11.707762463795749</v>
      </c>
    </row>
    <row r="217" spans="1:17" x14ac:dyDescent="0.3">
      <c r="A217" t="s">
        <v>384</v>
      </c>
      <c r="B217" s="2">
        <v>46261</v>
      </c>
      <c r="C217" t="s">
        <v>315</v>
      </c>
      <c r="D217" t="s">
        <v>28</v>
      </c>
      <c r="E217" t="s">
        <v>29</v>
      </c>
      <c r="F217" t="s">
        <v>49</v>
      </c>
      <c r="G217" t="s">
        <v>46</v>
      </c>
      <c r="H217" t="s">
        <v>38</v>
      </c>
      <c r="I217">
        <v>2</v>
      </c>
      <c r="J217">
        <v>28266.1</v>
      </c>
      <c r="K217">
        <v>0.05</v>
      </c>
      <c r="L217">
        <v>53705.59</v>
      </c>
      <c r="M217">
        <v>46484.68</v>
      </c>
      <c r="N217">
        <v>7220.91</v>
      </c>
      <c r="O217">
        <f t="shared" si="9"/>
        <v>56532.2</v>
      </c>
      <c r="P217">
        <f t="shared" si="10"/>
        <v>2826.61</v>
      </c>
      <c r="Q217">
        <f t="shared" si="11"/>
        <v>13.445360157108412</v>
      </c>
    </row>
    <row r="218" spans="1:17" x14ac:dyDescent="0.3">
      <c r="A218" t="s">
        <v>385</v>
      </c>
      <c r="B218" s="2">
        <v>46112</v>
      </c>
      <c r="C218" t="s">
        <v>386</v>
      </c>
      <c r="D218" t="s">
        <v>62</v>
      </c>
      <c r="E218" t="s">
        <v>24</v>
      </c>
      <c r="F218" t="s">
        <v>57</v>
      </c>
      <c r="G218" t="s">
        <v>19</v>
      </c>
      <c r="H218" t="s">
        <v>69</v>
      </c>
      <c r="I218">
        <v>2</v>
      </c>
      <c r="J218">
        <v>16579</v>
      </c>
      <c r="K218">
        <v>0.1</v>
      </c>
      <c r="L218">
        <v>29842.2</v>
      </c>
      <c r="M218">
        <v>23809.59</v>
      </c>
      <c r="N218">
        <v>6032.61</v>
      </c>
      <c r="O218">
        <f t="shared" si="9"/>
        <v>33158</v>
      </c>
      <c r="P218">
        <f t="shared" si="10"/>
        <v>3315.8</v>
      </c>
      <c r="Q218">
        <f t="shared" si="11"/>
        <v>20.21503106339345</v>
      </c>
    </row>
    <row r="219" spans="1:17" x14ac:dyDescent="0.3">
      <c r="A219" t="s">
        <v>387</v>
      </c>
      <c r="B219" s="2">
        <v>46058</v>
      </c>
      <c r="C219" t="s">
        <v>388</v>
      </c>
      <c r="D219" t="s">
        <v>16</v>
      </c>
      <c r="E219" t="s">
        <v>17</v>
      </c>
      <c r="F219" t="s">
        <v>79</v>
      </c>
      <c r="G219" t="s">
        <v>31</v>
      </c>
      <c r="H219" t="s">
        <v>54</v>
      </c>
      <c r="I219">
        <v>6</v>
      </c>
      <c r="J219">
        <v>2140.02</v>
      </c>
      <c r="K219">
        <v>0.05</v>
      </c>
      <c r="L219">
        <v>12198.11</v>
      </c>
      <c r="M219">
        <v>10665.5</v>
      </c>
      <c r="N219">
        <v>1532.61</v>
      </c>
      <c r="O219">
        <f t="shared" si="9"/>
        <v>12840.119999999999</v>
      </c>
      <c r="P219">
        <f t="shared" si="10"/>
        <v>642.00599999999997</v>
      </c>
      <c r="Q219">
        <f t="shared" si="11"/>
        <v>12.564323489458612</v>
      </c>
    </row>
    <row r="220" spans="1:17" x14ac:dyDescent="0.3">
      <c r="A220" t="s">
        <v>389</v>
      </c>
      <c r="B220" s="2">
        <v>46163</v>
      </c>
      <c r="C220" t="s">
        <v>59</v>
      </c>
      <c r="D220" t="s">
        <v>126</v>
      </c>
      <c r="E220" t="s">
        <v>24</v>
      </c>
      <c r="F220" t="s">
        <v>53</v>
      </c>
      <c r="G220" t="s">
        <v>46</v>
      </c>
      <c r="H220" t="s">
        <v>25</v>
      </c>
      <c r="I220">
        <v>6</v>
      </c>
      <c r="J220">
        <v>30298.91</v>
      </c>
      <c r="K220">
        <v>0.05</v>
      </c>
      <c r="L220">
        <v>172703.79</v>
      </c>
      <c r="M220">
        <v>141725.15</v>
      </c>
      <c r="N220">
        <v>30978.639999999999</v>
      </c>
      <c r="O220">
        <f t="shared" si="9"/>
        <v>181793.46</v>
      </c>
      <c r="P220">
        <f t="shared" si="10"/>
        <v>9089.6730000000007</v>
      </c>
      <c r="Q220">
        <f t="shared" si="11"/>
        <v>17.937440747536577</v>
      </c>
    </row>
    <row r="221" spans="1:17" x14ac:dyDescent="0.3">
      <c r="A221" t="s">
        <v>390</v>
      </c>
      <c r="B221" s="2">
        <v>46143</v>
      </c>
      <c r="C221" t="s">
        <v>320</v>
      </c>
      <c r="D221" t="s">
        <v>108</v>
      </c>
      <c r="E221" t="s">
        <v>36</v>
      </c>
      <c r="F221" t="s">
        <v>37</v>
      </c>
      <c r="G221" t="s">
        <v>31</v>
      </c>
      <c r="H221" t="s">
        <v>103</v>
      </c>
      <c r="I221">
        <v>1</v>
      </c>
      <c r="J221">
        <v>9150.2000000000007</v>
      </c>
      <c r="K221">
        <v>0</v>
      </c>
      <c r="L221">
        <v>9150.2000000000007</v>
      </c>
      <c r="M221">
        <v>7012.14</v>
      </c>
      <c r="N221">
        <v>2138.06</v>
      </c>
      <c r="O221">
        <f t="shared" si="9"/>
        <v>9150.2000000000007</v>
      </c>
      <c r="P221">
        <f t="shared" si="10"/>
        <v>0</v>
      </c>
      <c r="Q221">
        <f t="shared" si="11"/>
        <v>23.366265218246593</v>
      </c>
    </row>
    <row r="222" spans="1:17" x14ac:dyDescent="0.3">
      <c r="A222" t="s">
        <v>391</v>
      </c>
      <c r="B222" s="2">
        <v>46041</v>
      </c>
      <c r="C222" t="s">
        <v>392</v>
      </c>
      <c r="D222" t="s">
        <v>16</v>
      </c>
      <c r="E222" t="s">
        <v>17</v>
      </c>
      <c r="F222" t="s">
        <v>57</v>
      </c>
      <c r="G222" t="s">
        <v>19</v>
      </c>
      <c r="H222" t="s">
        <v>54</v>
      </c>
      <c r="I222">
        <v>2</v>
      </c>
      <c r="J222">
        <v>16348.35</v>
      </c>
      <c r="K222">
        <v>0.1</v>
      </c>
      <c r="L222">
        <v>29427.03</v>
      </c>
      <c r="M222">
        <v>23601.52</v>
      </c>
      <c r="N222">
        <v>5825.51</v>
      </c>
      <c r="O222">
        <f t="shared" si="9"/>
        <v>32696.7</v>
      </c>
      <c r="P222">
        <f t="shared" si="10"/>
        <v>3269.67</v>
      </c>
      <c r="Q222">
        <f t="shared" si="11"/>
        <v>19.796459241724364</v>
      </c>
    </row>
    <row r="223" spans="1:17" x14ac:dyDescent="0.3">
      <c r="A223" t="s">
        <v>393</v>
      </c>
      <c r="B223" s="2">
        <v>46071</v>
      </c>
      <c r="C223" t="s">
        <v>74</v>
      </c>
      <c r="D223" t="s">
        <v>106</v>
      </c>
      <c r="E223" t="s">
        <v>90</v>
      </c>
      <c r="F223" t="s">
        <v>45</v>
      </c>
      <c r="G223" t="s">
        <v>46</v>
      </c>
      <c r="H223" t="s">
        <v>32</v>
      </c>
      <c r="I223">
        <v>5</v>
      </c>
      <c r="J223">
        <v>38644.6</v>
      </c>
      <c r="K223">
        <v>0</v>
      </c>
      <c r="L223">
        <v>193223</v>
      </c>
      <c r="M223">
        <v>181218.54</v>
      </c>
      <c r="N223">
        <v>12004.46</v>
      </c>
      <c r="O223">
        <f t="shared" si="9"/>
        <v>193223</v>
      </c>
      <c r="P223">
        <f t="shared" si="10"/>
        <v>0</v>
      </c>
      <c r="Q223">
        <f t="shared" si="11"/>
        <v>6.2127489998602643</v>
      </c>
    </row>
    <row r="224" spans="1:17" x14ac:dyDescent="0.3">
      <c r="A224" t="s">
        <v>394</v>
      </c>
      <c r="B224" s="2">
        <v>46182</v>
      </c>
      <c r="C224" t="s">
        <v>149</v>
      </c>
      <c r="D224" t="s">
        <v>102</v>
      </c>
      <c r="E224" t="s">
        <v>29</v>
      </c>
      <c r="F224" t="s">
        <v>37</v>
      </c>
      <c r="G224" t="s">
        <v>31</v>
      </c>
      <c r="H224" t="s">
        <v>103</v>
      </c>
      <c r="I224">
        <v>5</v>
      </c>
      <c r="J224">
        <v>3683.51</v>
      </c>
      <c r="K224">
        <v>0.05</v>
      </c>
      <c r="L224">
        <v>17496.669999999998</v>
      </c>
      <c r="M224">
        <v>14004.12</v>
      </c>
      <c r="N224">
        <v>3492.55</v>
      </c>
      <c r="O224">
        <f t="shared" si="9"/>
        <v>18417.550000000003</v>
      </c>
      <c r="P224">
        <f t="shared" si="10"/>
        <v>920.87750000000017</v>
      </c>
      <c r="Q224">
        <f t="shared" si="11"/>
        <v>19.961226907748735</v>
      </c>
    </row>
    <row r="225" spans="1:17" x14ac:dyDescent="0.3">
      <c r="A225" t="s">
        <v>395</v>
      </c>
      <c r="B225" s="2">
        <v>46285</v>
      </c>
      <c r="C225" t="s">
        <v>396</v>
      </c>
      <c r="D225" t="s">
        <v>85</v>
      </c>
      <c r="E225" t="s">
        <v>17</v>
      </c>
      <c r="F225" t="s">
        <v>45</v>
      </c>
      <c r="G225" t="s">
        <v>46</v>
      </c>
      <c r="H225" t="s">
        <v>38</v>
      </c>
      <c r="I225">
        <v>6</v>
      </c>
      <c r="J225">
        <v>35215.94</v>
      </c>
      <c r="K225">
        <v>0</v>
      </c>
      <c r="L225">
        <v>211295.64</v>
      </c>
      <c r="M225">
        <v>184840.05</v>
      </c>
      <c r="N225">
        <v>26455.59</v>
      </c>
      <c r="O225">
        <f t="shared" si="9"/>
        <v>211295.64</v>
      </c>
      <c r="P225">
        <f t="shared" si="10"/>
        <v>0</v>
      </c>
      <c r="Q225">
        <f t="shared" si="11"/>
        <v>12.520651159673715</v>
      </c>
    </row>
    <row r="226" spans="1:17" x14ac:dyDescent="0.3">
      <c r="A226" t="s">
        <v>397</v>
      </c>
      <c r="B226" s="2">
        <v>46041</v>
      </c>
      <c r="C226" t="s">
        <v>237</v>
      </c>
      <c r="D226" t="s">
        <v>16</v>
      </c>
      <c r="E226" t="s">
        <v>17</v>
      </c>
      <c r="F226" t="s">
        <v>37</v>
      </c>
      <c r="G226" t="s">
        <v>31</v>
      </c>
      <c r="H226" t="s">
        <v>38</v>
      </c>
      <c r="I226">
        <v>7</v>
      </c>
      <c r="J226">
        <v>4366.43</v>
      </c>
      <c r="K226">
        <v>0.1</v>
      </c>
      <c r="L226">
        <v>27508.51</v>
      </c>
      <c r="M226">
        <v>22782.89</v>
      </c>
      <c r="N226">
        <v>4725.62</v>
      </c>
      <c r="O226">
        <f t="shared" si="9"/>
        <v>30565.010000000002</v>
      </c>
      <c r="P226">
        <f t="shared" si="10"/>
        <v>3056.5010000000002</v>
      </c>
      <c r="Q226">
        <f t="shared" si="11"/>
        <v>17.178756682931937</v>
      </c>
    </row>
    <row r="227" spans="1:17" x14ac:dyDescent="0.3">
      <c r="A227" t="s">
        <v>398</v>
      </c>
      <c r="B227" s="2">
        <v>46095</v>
      </c>
      <c r="C227" t="s">
        <v>399</v>
      </c>
      <c r="D227" t="s">
        <v>23</v>
      </c>
      <c r="E227" t="s">
        <v>24</v>
      </c>
      <c r="F227" t="s">
        <v>86</v>
      </c>
      <c r="G227" t="s">
        <v>46</v>
      </c>
      <c r="H227" t="s">
        <v>25</v>
      </c>
      <c r="I227">
        <v>1</v>
      </c>
      <c r="J227">
        <v>54066.26</v>
      </c>
      <c r="K227">
        <v>0.05</v>
      </c>
      <c r="L227">
        <v>51362.95</v>
      </c>
      <c r="M227">
        <v>44981.57</v>
      </c>
      <c r="N227">
        <v>6381.38</v>
      </c>
      <c r="O227">
        <f t="shared" si="9"/>
        <v>54066.26</v>
      </c>
      <c r="P227">
        <f t="shared" si="10"/>
        <v>2703.3130000000001</v>
      </c>
      <c r="Q227">
        <f t="shared" si="11"/>
        <v>12.424091684764992</v>
      </c>
    </row>
    <row r="228" spans="1:17" x14ac:dyDescent="0.3">
      <c r="A228" t="s">
        <v>400</v>
      </c>
      <c r="B228" s="2">
        <v>46027</v>
      </c>
      <c r="C228" t="s">
        <v>129</v>
      </c>
      <c r="D228" t="s">
        <v>28</v>
      </c>
      <c r="E228" t="s">
        <v>29</v>
      </c>
      <c r="F228" t="s">
        <v>30</v>
      </c>
      <c r="G228" t="s">
        <v>31</v>
      </c>
      <c r="H228" t="s">
        <v>32</v>
      </c>
      <c r="I228">
        <v>2</v>
      </c>
      <c r="J228">
        <v>1938.82</v>
      </c>
      <c r="K228">
        <v>0.05</v>
      </c>
      <c r="L228">
        <v>3683.76</v>
      </c>
      <c r="M228">
        <v>3020.65</v>
      </c>
      <c r="N228">
        <v>663.11</v>
      </c>
      <c r="O228">
        <f t="shared" si="9"/>
        <v>3877.64</v>
      </c>
      <c r="P228">
        <f t="shared" si="10"/>
        <v>193.88200000000001</v>
      </c>
      <c r="Q228">
        <f t="shared" si="11"/>
        <v>18.000901253067518</v>
      </c>
    </row>
    <row r="229" spans="1:17" x14ac:dyDescent="0.3">
      <c r="A229" t="s">
        <v>401</v>
      </c>
      <c r="B229" s="2">
        <v>46152</v>
      </c>
      <c r="C229" t="s">
        <v>341</v>
      </c>
      <c r="D229" t="s">
        <v>126</v>
      </c>
      <c r="E229" t="s">
        <v>24</v>
      </c>
      <c r="F229" t="s">
        <v>45</v>
      </c>
      <c r="G229" t="s">
        <v>46</v>
      </c>
      <c r="H229" t="s">
        <v>50</v>
      </c>
      <c r="I229">
        <v>3</v>
      </c>
      <c r="J229">
        <v>33147.21</v>
      </c>
      <c r="K229">
        <v>0.05</v>
      </c>
      <c r="L229">
        <v>94469.55</v>
      </c>
      <c r="M229">
        <v>84846.080000000002</v>
      </c>
      <c r="N229">
        <v>9623.4699999999993</v>
      </c>
      <c r="O229">
        <f t="shared" si="9"/>
        <v>99441.63</v>
      </c>
      <c r="P229">
        <f t="shared" si="10"/>
        <v>4972.0815000000002</v>
      </c>
      <c r="Q229">
        <f t="shared" si="11"/>
        <v>10.186848566548692</v>
      </c>
    </row>
    <row r="230" spans="1:17" x14ac:dyDescent="0.3">
      <c r="A230" t="s">
        <v>402</v>
      </c>
      <c r="B230" s="2">
        <v>46058</v>
      </c>
      <c r="C230" t="s">
        <v>403</v>
      </c>
      <c r="D230" t="s">
        <v>85</v>
      </c>
      <c r="E230" t="s">
        <v>17</v>
      </c>
      <c r="F230" t="s">
        <v>41</v>
      </c>
      <c r="G230" t="s">
        <v>42</v>
      </c>
      <c r="H230" t="s">
        <v>38</v>
      </c>
      <c r="I230">
        <v>2</v>
      </c>
      <c r="J230">
        <v>10091.469999999999</v>
      </c>
      <c r="K230">
        <v>0</v>
      </c>
      <c r="L230">
        <v>20182.939999999999</v>
      </c>
      <c r="M230">
        <v>17073.87</v>
      </c>
      <c r="N230">
        <v>3109.07</v>
      </c>
      <c r="O230">
        <f t="shared" si="9"/>
        <v>20182.939999999999</v>
      </c>
      <c r="P230">
        <f t="shared" si="10"/>
        <v>0</v>
      </c>
      <c r="Q230">
        <f t="shared" si="11"/>
        <v>15.404445536676025</v>
      </c>
    </row>
    <row r="231" spans="1:17" x14ac:dyDescent="0.3">
      <c r="A231" t="s">
        <v>404</v>
      </c>
      <c r="B231" s="2">
        <v>46167</v>
      </c>
      <c r="C231" t="s">
        <v>95</v>
      </c>
      <c r="D231" t="s">
        <v>28</v>
      </c>
      <c r="E231" t="s">
        <v>29</v>
      </c>
      <c r="F231" t="s">
        <v>18</v>
      </c>
      <c r="G231" t="s">
        <v>19</v>
      </c>
      <c r="H231" t="s">
        <v>50</v>
      </c>
      <c r="I231">
        <v>6</v>
      </c>
      <c r="J231">
        <v>23704.45</v>
      </c>
      <c r="K231">
        <v>0</v>
      </c>
      <c r="L231">
        <v>142226.70000000001</v>
      </c>
      <c r="M231">
        <v>112655.22</v>
      </c>
      <c r="N231">
        <v>29571.48</v>
      </c>
      <c r="O231">
        <f t="shared" si="9"/>
        <v>142226.70000000001</v>
      </c>
      <c r="P231">
        <f t="shared" si="10"/>
        <v>0</v>
      </c>
      <c r="Q231">
        <f t="shared" si="11"/>
        <v>20.791792258415612</v>
      </c>
    </row>
    <row r="232" spans="1:17" x14ac:dyDescent="0.3">
      <c r="A232" t="s">
        <v>405</v>
      </c>
      <c r="B232" s="2">
        <v>46027</v>
      </c>
      <c r="C232" t="s">
        <v>349</v>
      </c>
      <c r="D232" t="s">
        <v>16</v>
      </c>
      <c r="E232" t="s">
        <v>17</v>
      </c>
      <c r="F232" t="s">
        <v>18</v>
      </c>
      <c r="G232" t="s">
        <v>19</v>
      </c>
      <c r="H232" t="s">
        <v>25</v>
      </c>
      <c r="I232">
        <v>1</v>
      </c>
      <c r="J232">
        <v>23140.6</v>
      </c>
      <c r="K232">
        <v>0.1</v>
      </c>
      <c r="L232">
        <v>20826.54</v>
      </c>
      <c r="M232">
        <v>16192.32</v>
      </c>
      <c r="N232">
        <v>4634.22</v>
      </c>
      <c r="O232">
        <f t="shared" si="9"/>
        <v>23140.6</v>
      </c>
      <c r="P232">
        <f t="shared" si="10"/>
        <v>2314.06</v>
      </c>
      <c r="Q232">
        <f t="shared" si="11"/>
        <v>22.251511772958928</v>
      </c>
    </row>
    <row r="233" spans="1:17" x14ac:dyDescent="0.3">
      <c r="A233" t="s">
        <v>406</v>
      </c>
      <c r="B233" s="2">
        <v>46253</v>
      </c>
      <c r="C233" t="s">
        <v>268</v>
      </c>
      <c r="D233" t="s">
        <v>89</v>
      </c>
      <c r="E233" t="s">
        <v>90</v>
      </c>
      <c r="F233" t="s">
        <v>30</v>
      </c>
      <c r="G233" t="s">
        <v>31</v>
      </c>
      <c r="H233" t="s">
        <v>69</v>
      </c>
      <c r="I233">
        <v>6</v>
      </c>
      <c r="J233">
        <v>4269.4799999999996</v>
      </c>
      <c r="K233">
        <v>0</v>
      </c>
      <c r="L233">
        <v>25616.880000000001</v>
      </c>
      <c r="M233">
        <v>21564.18</v>
      </c>
      <c r="N233">
        <v>4052.7</v>
      </c>
      <c r="O233">
        <f t="shared" si="9"/>
        <v>25616.879999999997</v>
      </c>
      <c r="P233">
        <f t="shared" si="10"/>
        <v>0</v>
      </c>
      <c r="Q233">
        <f t="shared" si="11"/>
        <v>15.820427780432276</v>
      </c>
    </row>
    <row r="234" spans="1:17" x14ac:dyDescent="0.3">
      <c r="A234" t="s">
        <v>407</v>
      </c>
      <c r="B234" s="2">
        <v>46173</v>
      </c>
      <c r="C234" t="s">
        <v>408</v>
      </c>
      <c r="D234" t="s">
        <v>123</v>
      </c>
      <c r="E234" t="s">
        <v>90</v>
      </c>
      <c r="F234" t="s">
        <v>45</v>
      </c>
      <c r="G234" t="s">
        <v>46</v>
      </c>
      <c r="H234" t="s">
        <v>32</v>
      </c>
      <c r="I234">
        <v>2</v>
      </c>
      <c r="J234">
        <v>34045.480000000003</v>
      </c>
      <c r="K234">
        <v>0.1</v>
      </c>
      <c r="L234">
        <v>61281.86</v>
      </c>
      <c r="M234">
        <v>54550.53</v>
      </c>
      <c r="N234">
        <v>6731.33</v>
      </c>
      <c r="O234">
        <f t="shared" si="9"/>
        <v>68090.960000000006</v>
      </c>
      <c r="P234">
        <f t="shared" si="10"/>
        <v>6809.0960000000014</v>
      </c>
      <c r="Q234">
        <f t="shared" si="11"/>
        <v>10.984212946539156</v>
      </c>
    </row>
    <row r="235" spans="1:17" x14ac:dyDescent="0.3">
      <c r="A235" t="s">
        <v>409</v>
      </c>
      <c r="B235" s="2">
        <v>46202</v>
      </c>
      <c r="C235" t="s">
        <v>74</v>
      </c>
      <c r="D235" t="s">
        <v>145</v>
      </c>
      <c r="E235" t="s">
        <v>36</v>
      </c>
      <c r="F235" t="s">
        <v>57</v>
      </c>
      <c r="G235" t="s">
        <v>19</v>
      </c>
      <c r="H235" t="s">
        <v>50</v>
      </c>
      <c r="I235">
        <v>2</v>
      </c>
      <c r="J235">
        <v>21020.58</v>
      </c>
      <c r="K235">
        <v>0.05</v>
      </c>
      <c r="L235">
        <v>39939.1</v>
      </c>
      <c r="M235">
        <v>28343.7</v>
      </c>
      <c r="N235">
        <v>11595.4</v>
      </c>
      <c r="O235">
        <f t="shared" si="9"/>
        <v>42041.16</v>
      </c>
      <c r="P235">
        <f t="shared" si="10"/>
        <v>2102.0580000000004</v>
      </c>
      <c r="Q235">
        <f t="shared" si="11"/>
        <v>29.032702289235363</v>
      </c>
    </row>
    <row r="236" spans="1:17" x14ac:dyDescent="0.3">
      <c r="A236" t="s">
        <v>410</v>
      </c>
      <c r="B236" s="2">
        <v>46123</v>
      </c>
      <c r="C236" t="s">
        <v>264</v>
      </c>
      <c r="D236" t="s">
        <v>16</v>
      </c>
      <c r="E236" t="s">
        <v>17</v>
      </c>
      <c r="F236" t="s">
        <v>37</v>
      </c>
      <c r="G236" t="s">
        <v>31</v>
      </c>
      <c r="H236" t="s">
        <v>50</v>
      </c>
      <c r="I236">
        <v>1</v>
      </c>
      <c r="J236">
        <v>5759.8</v>
      </c>
      <c r="K236">
        <v>0</v>
      </c>
      <c r="L236">
        <v>5759.8</v>
      </c>
      <c r="M236">
        <v>4388.43</v>
      </c>
      <c r="N236">
        <v>1371.37</v>
      </c>
      <c r="O236">
        <f t="shared" si="9"/>
        <v>5759.8</v>
      </c>
      <c r="P236">
        <f t="shared" si="10"/>
        <v>0</v>
      </c>
      <c r="Q236">
        <f t="shared" si="11"/>
        <v>23.809333657418659</v>
      </c>
    </row>
    <row r="237" spans="1:17" x14ac:dyDescent="0.3">
      <c r="A237" t="s">
        <v>411</v>
      </c>
      <c r="B237" s="2">
        <v>46238</v>
      </c>
      <c r="C237" t="s">
        <v>247</v>
      </c>
      <c r="D237" t="s">
        <v>72</v>
      </c>
      <c r="E237" t="s">
        <v>29</v>
      </c>
      <c r="F237" t="s">
        <v>53</v>
      </c>
      <c r="G237" t="s">
        <v>46</v>
      </c>
      <c r="H237" t="s">
        <v>32</v>
      </c>
      <c r="I237">
        <v>7</v>
      </c>
      <c r="J237">
        <v>12673.23</v>
      </c>
      <c r="K237">
        <v>0</v>
      </c>
      <c r="L237">
        <v>88712.61</v>
      </c>
      <c r="M237">
        <v>79123.490000000005</v>
      </c>
      <c r="N237">
        <v>9589.1200000000008</v>
      </c>
      <c r="O237">
        <f t="shared" si="9"/>
        <v>88712.61</v>
      </c>
      <c r="P237">
        <f t="shared" si="10"/>
        <v>0</v>
      </c>
      <c r="Q237">
        <f t="shared" si="11"/>
        <v>10.80919612217474</v>
      </c>
    </row>
    <row r="238" spans="1:17" x14ac:dyDescent="0.3">
      <c r="A238" t="s">
        <v>412</v>
      </c>
      <c r="B238" s="2">
        <v>46088</v>
      </c>
      <c r="C238" t="s">
        <v>250</v>
      </c>
      <c r="D238" t="s">
        <v>102</v>
      </c>
      <c r="E238" t="s">
        <v>29</v>
      </c>
      <c r="F238" t="s">
        <v>45</v>
      </c>
      <c r="G238" t="s">
        <v>46</v>
      </c>
      <c r="H238" t="s">
        <v>25</v>
      </c>
      <c r="I238">
        <v>6</v>
      </c>
      <c r="J238">
        <v>26180.720000000001</v>
      </c>
      <c r="K238">
        <v>0.15</v>
      </c>
      <c r="L238">
        <v>133521.67000000001</v>
      </c>
      <c r="M238">
        <v>117807.84</v>
      </c>
      <c r="N238">
        <v>15713.83</v>
      </c>
      <c r="O238">
        <f t="shared" si="9"/>
        <v>157084.32</v>
      </c>
      <c r="P238">
        <f t="shared" si="10"/>
        <v>23562.648000000001</v>
      </c>
      <c r="Q238">
        <f t="shared" si="11"/>
        <v>11.768748848033431</v>
      </c>
    </row>
    <row r="239" spans="1:17" x14ac:dyDescent="0.3">
      <c r="A239" t="s">
        <v>413</v>
      </c>
      <c r="B239" s="2">
        <v>46275</v>
      </c>
      <c r="C239" t="s">
        <v>357</v>
      </c>
      <c r="D239" t="s">
        <v>113</v>
      </c>
      <c r="E239" t="s">
        <v>17</v>
      </c>
      <c r="F239" t="s">
        <v>86</v>
      </c>
      <c r="G239" t="s">
        <v>46</v>
      </c>
      <c r="H239" t="s">
        <v>38</v>
      </c>
      <c r="I239">
        <v>6</v>
      </c>
      <c r="J239">
        <v>81910.289999999994</v>
      </c>
      <c r="K239">
        <v>0</v>
      </c>
      <c r="L239">
        <v>491461.74</v>
      </c>
      <c r="M239">
        <v>407998.68</v>
      </c>
      <c r="N239">
        <v>83463.06</v>
      </c>
      <c r="O239">
        <f t="shared" si="9"/>
        <v>491461.74</v>
      </c>
      <c r="P239">
        <f t="shared" si="10"/>
        <v>0</v>
      </c>
      <c r="Q239">
        <f t="shared" si="11"/>
        <v>16.982615981459716</v>
      </c>
    </row>
    <row r="240" spans="1:17" x14ac:dyDescent="0.3">
      <c r="A240" t="s">
        <v>414</v>
      </c>
      <c r="B240" s="2">
        <v>46047</v>
      </c>
      <c r="C240" t="s">
        <v>88</v>
      </c>
      <c r="D240" t="s">
        <v>108</v>
      </c>
      <c r="E240" t="s">
        <v>36</v>
      </c>
      <c r="F240" t="s">
        <v>30</v>
      </c>
      <c r="G240" t="s">
        <v>31</v>
      </c>
      <c r="H240" t="s">
        <v>20</v>
      </c>
      <c r="I240">
        <v>5</v>
      </c>
      <c r="J240">
        <v>1311.4</v>
      </c>
      <c r="K240">
        <v>0</v>
      </c>
      <c r="L240">
        <v>6557</v>
      </c>
      <c r="M240">
        <v>5458.23</v>
      </c>
      <c r="N240">
        <v>1098.77</v>
      </c>
      <c r="O240">
        <f t="shared" si="9"/>
        <v>6557</v>
      </c>
      <c r="P240">
        <f t="shared" si="10"/>
        <v>0</v>
      </c>
      <c r="Q240">
        <f t="shared" si="11"/>
        <v>16.75720603934726</v>
      </c>
    </row>
    <row r="241" spans="1:17" x14ac:dyDescent="0.3">
      <c r="A241" t="s">
        <v>415</v>
      </c>
      <c r="B241" s="2">
        <v>46034</v>
      </c>
      <c r="C241" t="s">
        <v>241</v>
      </c>
      <c r="D241" t="s">
        <v>28</v>
      </c>
      <c r="E241" t="s">
        <v>29</v>
      </c>
      <c r="F241" t="s">
        <v>79</v>
      </c>
      <c r="G241" t="s">
        <v>31</v>
      </c>
      <c r="H241" t="s">
        <v>50</v>
      </c>
      <c r="I241">
        <v>4</v>
      </c>
      <c r="J241">
        <v>5946.73</v>
      </c>
      <c r="K241">
        <v>0.1</v>
      </c>
      <c r="L241">
        <v>21408.23</v>
      </c>
      <c r="M241">
        <v>18838.32</v>
      </c>
      <c r="N241">
        <v>2569.91</v>
      </c>
      <c r="O241">
        <f t="shared" si="9"/>
        <v>23786.92</v>
      </c>
      <c r="P241">
        <f t="shared" si="10"/>
        <v>2378.692</v>
      </c>
      <c r="Q241">
        <f t="shared" si="11"/>
        <v>12.004308623365874</v>
      </c>
    </row>
    <row r="242" spans="1:17" x14ac:dyDescent="0.3">
      <c r="A242" t="s">
        <v>416</v>
      </c>
      <c r="B242" s="2">
        <v>46152</v>
      </c>
      <c r="C242" t="s">
        <v>138</v>
      </c>
      <c r="D242" t="s">
        <v>28</v>
      </c>
      <c r="E242" t="s">
        <v>29</v>
      </c>
      <c r="F242" t="s">
        <v>57</v>
      </c>
      <c r="G242" t="s">
        <v>19</v>
      </c>
      <c r="H242" t="s">
        <v>25</v>
      </c>
      <c r="I242">
        <v>3</v>
      </c>
      <c r="J242">
        <v>7584.42</v>
      </c>
      <c r="K242">
        <v>0.05</v>
      </c>
      <c r="L242">
        <v>21615.599999999999</v>
      </c>
      <c r="M242">
        <v>17227.330000000002</v>
      </c>
      <c r="N242">
        <v>4388.2700000000004</v>
      </c>
      <c r="O242">
        <f t="shared" si="9"/>
        <v>22753.260000000002</v>
      </c>
      <c r="P242">
        <f t="shared" si="10"/>
        <v>1137.6630000000002</v>
      </c>
      <c r="Q242">
        <f t="shared" si="11"/>
        <v>20.301402690649351</v>
      </c>
    </row>
    <row r="243" spans="1:17" x14ac:dyDescent="0.3">
      <c r="A243" t="s">
        <v>417</v>
      </c>
      <c r="B243" s="2">
        <v>46289</v>
      </c>
      <c r="C243" t="s">
        <v>226</v>
      </c>
      <c r="D243" t="s">
        <v>123</v>
      </c>
      <c r="E243" t="s">
        <v>90</v>
      </c>
      <c r="F243" t="s">
        <v>18</v>
      </c>
      <c r="G243" t="s">
        <v>19</v>
      </c>
      <c r="H243" t="s">
        <v>38</v>
      </c>
      <c r="I243">
        <v>7</v>
      </c>
      <c r="J243">
        <v>13244.46</v>
      </c>
      <c r="K243">
        <v>0</v>
      </c>
      <c r="L243">
        <v>92711.22</v>
      </c>
      <c r="M243">
        <v>76294.850000000006</v>
      </c>
      <c r="N243">
        <v>16416.37</v>
      </c>
      <c r="O243">
        <f t="shared" si="9"/>
        <v>92711.22</v>
      </c>
      <c r="P243">
        <f t="shared" si="10"/>
        <v>0</v>
      </c>
      <c r="Q243">
        <f t="shared" si="11"/>
        <v>17.706993824479927</v>
      </c>
    </row>
    <row r="244" spans="1:17" x14ac:dyDescent="0.3">
      <c r="A244" t="s">
        <v>418</v>
      </c>
      <c r="B244" s="2">
        <v>46212</v>
      </c>
      <c r="C244" t="s">
        <v>419</v>
      </c>
      <c r="D244" t="s">
        <v>145</v>
      </c>
      <c r="E244" t="s">
        <v>36</v>
      </c>
      <c r="F244" t="s">
        <v>49</v>
      </c>
      <c r="G244" t="s">
        <v>46</v>
      </c>
      <c r="H244" t="s">
        <v>69</v>
      </c>
      <c r="I244">
        <v>4</v>
      </c>
      <c r="J244">
        <v>16977.46</v>
      </c>
      <c r="K244">
        <v>0.05</v>
      </c>
      <c r="L244">
        <v>64514.35</v>
      </c>
      <c r="M244">
        <v>56321.86</v>
      </c>
      <c r="N244">
        <v>8192.49</v>
      </c>
      <c r="O244">
        <f t="shared" si="9"/>
        <v>67909.84</v>
      </c>
      <c r="P244">
        <f t="shared" si="10"/>
        <v>3395.4920000000002</v>
      </c>
      <c r="Q244">
        <f t="shared" si="11"/>
        <v>12.698709666919065</v>
      </c>
    </row>
    <row r="245" spans="1:17" x14ac:dyDescent="0.3">
      <c r="A245" t="s">
        <v>420</v>
      </c>
      <c r="B245" s="2">
        <v>46123</v>
      </c>
      <c r="C245" t="s">
        <v>206</v>
      </c>
      <c r="D245" t="s">
        <v>126</v>
      </c>
      <c r="E245" t="s">
        <v>24</v>
      </c>
      <c r="F245" t="s">
        <v>79</v>
      </c>
      <c r="G245" t="s">
        <v>31</v>
      </c>
      <c r="H245" t="s">
        <v>20</v>
      </c>
      <c r="I245">
        <v>4</v>
      </c>
      <c r="J245">
        <v>3076.53</v>
      </c>
      <c r="K245">
        <v>0.05</v>
      </c>
      <c r="L245">
        <v>11690.81</v>
      </c>
      <c r="M245">
        <v>9640.35</v>
      </c>
      <c r="N245">
        <v>2050.46</v>
      </c>
      <c r="O245">
        <f t="shared" si="9"/>
        <v>12306.12</v>
      </c>
      <c r="P245">
        <f t="shared" si="10"/>
        <v>615.30600000000004</v>
      </c>
      <c r="Q245">
        <f t="shared" si="11"/>
        <v>17.539075564481845</v>
      </c>
    </row>
    <row r="246" spans="1:17" x14ac:dyDescent="0.3">
      <c r="A246" t="s">
        <v>421</v>
      </c>
      <c r="B246" s="2">
        <v>46138</v>
      </c>
      <c r="C246" t="s">
        <v>211</v>
      </c>
      <c r="D246" t="s">
        <v>35</v>
      </c>
      <c r="E246" t="s">
        <v>36</v>
      </c>
      <c r="F246" t="s">
        <v>49</v>
      </c>
      <c r="G246" t="s">
        <v>46</v>
      </c>
      <c r="H246" t="s">
        <v>20</v>
      </c>
      <c r="I246">
        <v>4</v>
      </c>
      <c r="J246">
        <v>22297.26</v>
      </c>
      <c r="K246">
        <v>0.05</v>
      </c>
      <c r="L246">
        <v>84729.59</v>
      </c>
      <c r="M246">
        <v>77449.64</v>
      </c>
      <c r="N246">
        <v>7279.95</v>
      </c>
      <c r="O246">
        <f t="shared" si="9"/>
        <v>89189.04</v>
      </c>
      <c r="P246">
        <f t="shared" si="10"/>
        <v>4459.4520000000002</v>
      </c>
      <c r="Q246">
        <f t="shared" si="11"/>
        <v>8.5919806764083244</v>
      </c>
    </row>
    <row r="247" spans="1:17" x14ac:dyDescent="0.3">
      <c r="A247" t="s">
        <v>422</v>
      </c>
      <c r="B247" s="2">
        <v>46205</v>
      </c>
      <c r="C247" t="s">
        <v>155</v>
      </c>
      <c r="D247" t="s">
        <v>123</v>
      </c>
      <c r="E247" t="s">
        <v>90</v>
      </c>
      <c r="F247" t="s">
        <v>30</v>
      </c>
      <c r="G247" t="s">
        <v>31</v>
      </c>
      <c r="H247" t="s">
        <v>54</v>
      </c>
      <c r="I247">
        <v>7</v>
      </c>
      <c r="J247">
        <v>880.61</v>
      </c>
      <c r="K247">
        <v>0.05</v>
      </c>
      <c r="L247">
        <v>5856.06</v>
      </c>
      <c r="M247">
        <v>4459.2299999999996</v>
      </c>
      <c r="N247">
        <v>1396.83</v>
      </c>
      <c r="O247">
        <f t="shared" si="9"/>
        <v>6164.27</v>
      </c>
      <c r="P247">
        <f t="shared" si="10"/>
        <v>308.21350000000007</v>
      </c>
      <c r="Q247">
        <f t="shared" si="11"/>
        <v>23.852726918781567</v>
      </c>
    </row>
    <row r="248" spans="1:17" x14ac:dyDescent="0.3">
      <c r="A248" t="s">
        <v>423</v>
      </c>
      <c r="B248" s="2">
        <v>46087</v>
      </c>
      <c r="C248" t="s">
        <v>61</v>
      </c>
      <c r="D248" t="s">
        <v>108</v>
      </c>
      <c r="E248" t="s">
        <v>36</v>
      </c>
      <c r="F248" t="s">
        <v>30</v>
      </c>
      <c r="G248" t="s">
        <v>31</v>
      </c>
      <c r="H248" t="s">
        <v>54</v>
      </c>
      <c r="I248">
        <v>5</v>
      </c>
      <c r="J248">
        <v>4304.07</v>
      </c>
      <c r="K248">
        <v>0.15</v>
      </c>
      <c r="L248">
        <v>18292.3</v>
      </c>
      <c r="M248">
        <v>13642.4</v>
      </c>
      <c r="N248">
        <v>4649.8999999999996</v>
      </c>
      <c r="O248">
        <f t="shared" si="9"/>
        <v>21520.35</v>
      </c>
      <c r="P248">
        <f t="shared" si="10"/>
        <v>3228.0524999999998</v>
      </c>
      <c r="Q248">
        <f t="shared" si="11"/>
        <v>25.419985458362259</v>
      </c>
    </row>
    <row r="249" spans="1:17" x14ac:dyDescent="0.3">
      <c r="A249" t="s">
        <v>424</v>
      </c>
      <c r="B249" s="2">
        <v>46278</v>
      </c>
      <c r="C249" t="s">
        <v>56</v>
      </c>
      <c r="D249" t="s">
        <v>126</v>
      </c>
      <c r="E249" t="s">
        <v>24</v>
      </c>
      <c r="F249" t="s">
        <v>30</v>
      </c>
      <c r="G249" t="s">
        <v>31</v>
      </c>
      <c r="H249" t="s">
        <v>103</v>
      </c>
      <c r="I249">
        <v>4</v>
      </c>
      <c r="J249">
        <v>2850.61</v>
      </c>
      <c r="K249">
        <v>0.1</v>
      </c>
      <c r="L249">
        <v>10262.200000000001</v>
      </c>
      <c r="M249">
        <v>8398.0499999999993</v>
      </c>
      <c r="N249">
        <v>1864.15</v>
      </c>
      <c r="O249">
        <f t="shared" si="9"/>
        <v>11402.44</v>
      </c>
      <c r="P249">
        <f t="shared" si="10"/>
        <v>1140.2440000000001</v>
      </c>
      <c r="Q249">
        <f t="shared" si="11"/>
        <v>18.165208239948548</v>
      </c>
    </row>
    <row r="250" spans="1:17" x14ac:dyDescent="0.3">
      <c r="A250" t="s">
        <v>425</v>
      </c>
      <c r="B250" s="2">
        <v>46249</v>
      </c>
      <c r="C250" t="s">
        <v>361</v>
      </c>
      <c r="D250" t="s">
        <v>62</v>
      </c>
      <c r="E250" t="s">
        <v>24</v>
      </c>
      <c r="F250" t="s">
        <v>79</v>
      </c>
      <c r="G250" t="s">
        <v>31</v>
      </c>
      <c r="H250" t="s">
        <v>103</v>
      </c>
      <c r="I250">
        <v>2</v>
      </c>
      <c r="J250">
        <v>10483.299999999999</v>
      </c>
      <c r="K250">
        <v>0.1</v>
      </c>
      <c r="L250">
        <v>18869.939999999999</v>
      </c>
      <c r="M250">
        <v>14417.18</v>
      </c>
      <c r="N250">
        <v>4452.76</v>
      </c>
      <c r="O250">
        <f t="shared" si="9"/>
        <v>20966.599999999999</v>
      </c>
      <c r="P250">
        <f t="shared" si="10"/>
        <v>2096.66</v>
      </c>
      <c r="Q250">
        <f t="shared" si="11"/>
        <v>23.597107356992129</v>
      </c>
    </row>
    <row r="251" spans="1:17" x14ac:dyDescent="0.3">
      <c r="A251" t="s">
        <v>426</v>
      </c>
      <c r="B251" s="2">
        <v>46039</v>
      </c>
      <c r="C251" t="s">
        <v>184</v>
      </c>
      <c r="D251" t="s">
        <v>23</v>
      </c>
      <c r="E251" t="s">
        <v>24</v>
      </c>
      <c r="F251" t="s">
        <v>41</v>
      </c>
      <c r="G251" t="s">
        <v>42</v>
      </c>
      <c r="H251" t="s">
        <v>25</v>
      </c>
      <c r="I251">
        <v>2</v>
      </c>
      <c r="J251">
        <v>28627.95</v>
      </c>
      <c r="K251">
        <v>0</v>
      </c>
      <c r="L251">
        <v>57255.9</v>
      </c>
      <c r="M251">
        <v>49780.54</v>
      </c>
      <c r="N251">
        <v>7475.36</v>
      </c>
      <c r="O251">
        <f t="shared" si="9"/>
        <v>57255.9</v>
      </c>
      <c r="P251">
        <f t="shared" si="10"/>
        <v>0</v>
      </c>
      <c r="Q251">
        <f t="shared" si="11"/>
        <v>13.056051865397277</v>
      </c>
    </row>
    <row r="252" spans="1:17" x14ac:dyDescent="0.3">
      <c r="A252" t="s">
        <v>427</v>
      </c>
      <c r="B252" s="2">
        <v>46254</v>
      </c>
      <c r="C252" t="s">
        <v>182</v>
      </c>
      <c r="D252" t="s">
        <v>85</v>
      </c>
      <c r="E252" t="s">
        <v>17</v>
      </c>
      <c r="F252" t="s">
        <v>57</v>
      </c>
      <c r="G252" t="s">
        <v>19</v>
      </c>
      <c r="H252" t="s">
        <v>38</v>
      </c>
      <c r="I252">
        <v>3</v>
      </c>
      <c r="J252">
        <v>16209.02</v>
      </c>
      <c r="K252">
        <v>0.05</v>
      </c>
      <c r="L252">
        <v>46195.71</v>
      </c>
      <c r="M252">
        <v>36622.31</v>
      </c>
      <c r="N252">
        <v>9573.4</v>
      </c>
      <c r="O252">
        <f t="shared" si="9"/>
        <v>48627.06</v>
      </c>
      <c r="P252">
        <f t="shared" si="10"/>
        <v>2431.3530000000001</v>
      </c>
      <c r="Q252">
        <f t="shared" si="11"/>
        <v>20.723569353084951</v>
      </c>
    </row>
    <row r="253" spans="1:17" x14ac:dyDescent="0.3">
      <c r="A253" t="s">
        <v>428</v>
      </c>
      <c r="B253" s="2">
        <v>46195</v>
      </c>
      <c r="C253" t="s">
        <v>429</v>
      </c>
      <c r="D253" t="s">
        <v>106</v>
      </c>
      <c r="E253" t="s">
        <v>90</v>
      </c>
      <c r="F253" t="s">
        <v>30</v>
      </c>
      <c r="G253" t="s">
        <v>31</v>
      </c>
      <c r="H253" t="s">
        <v>32</v>
      </c>
      <c r="I253">
        <v>1</v>
      </c>
      <c r="J253">
        <v>3897.22</v>
      </c>
      <c r="K253">
        <v>0</v>
      </c>
      <c r="L253">
        <v>3897.22</v>
      </c>
      <c r="M253">
        <v>3288.4</v>
      </c>
      <c r="N253">
        <v>608.82000000000005</v>
      </c>
      <c r="O253">
        <f t="shared" si="9"/>
        <v>3897.22</v>
      </c>
      <c r="P253">
        <f t="shared" si="10"/>
        <v>0</v>
      </c>
      <c r="Q253">
        <f t="shared" si="11"/>
        <v>15.621904844992073</v>
      </c>
    </row>
    <row r="254" spans="1:17" x14ac:dyDescent="0.3">
      <c r="A254" t="s">
        <v>430</v>
      </c>
      <c r="B254" s="2">
        <v>46131</v>
      </c>
      <c r="C254" t="s">
        <v>129</v>
      </c>
      <c r="D254" t="s">
        <v>106</v>
      </c>
      <c r="E254" t="s">
        <v>90</v>
      </c>
      <c r="F254" t="s">
        <v>18</v>
      </c>
      <c r="G254" t="s">
        <v>19</v>
      </c>
      <c r="H254" t="s">
        <v>54</v>
      </c>
      <c r="I254">
        <v>1</v>
      </c>
      <c r="J254">
        <v>9212.7199999999993</v>
      </c>
      <c r="K254">
        <v>0.15</v>
      </c>
      <c r="L254">
        <v>7830.81</v>
      </c>
      <c r="M254">
        <v>5884.85</v>
      </c>
      <c r="N254">
        <v>1945.96</v>
      </c>
      <c r="O254">
        <f t="shared" si="9"/>
        <v>9212.7199999999993</v>
      </c>
      <c r="P254">
        <f t="shared" si="10"/>
        <v>1381.9079999999999</v>
      </c>
      <c r="Q254">
        <f t="shared" si="11"/>
        <v>24.850047440813913</v>
      </c>
    </row>
    <row r="255" spans="1:17" x14ac:dyDescent="0.3">
      <c r="A255" t="s">
        <v>431</v>
      </c>
      <c r="B255" s="2">
        <v>46250</v>
      </c>
      <c r="C255" t="s">
        <v>231</v>
      </c>
      <c r="D255" t="s">
        <v>102</v>
      </c>
      <c r="E255" t="s">
        <v>29</v>
      </c>
      <c r="F255" t="s">
        <v>79</v>
      </c>
      <c r="G255" t="s">
        <v>31</v>
      </c>
      <c r="H255" t="s">
        <v>20</v>
      </c>
      <c r="I255">
        <v>7</v>
      </c>
      <c r="J255">
        <v>9566.26</v>
      </c>
      <c r="K255">
        <v>0.1</v>
      </c>
      <c r="L255">
        <v>60267.44</v>
      </c>
      <c r="M255">
        <v>50255.25</v>
      </c>
      <c r="N255">
        <v>10012.19</v>
      </c>
      <c r="O255">
        <f t="shared" si="9"/>
        <v>66963.820000000007</v>
      </c>
      <c r="P255">
        <f t="shared" si="10"/>
        <v>6696.3820000000014</v>
      </c>
      <c r="Q255">
        <f t="shared" si="11"/>
        <v>16.612933949077643</v>
      </c>
    </row>
    <row r="256" spans="1:17" x14ac:dyDescent="0.3">
      <c r="A256" t="s">
        <v>432</v>
      </c>
      <c r="B256" s="2">
        <v>46030</v>
      </c>
      <c r="C256" t="s">
        <v>95</v>
      </c>
      <c r="D256" t="s">
        <v>72</v>
      </c>
      <c r="E256" t="s">
        <v>29</v>
      </c>
      <c r="F256" t="s">
        <v>53</v>
      </c>
      <c r="G256" t="s">
        <v>46</v>
      </c>
      <c r="H256" t="s">
        <v>69</v>
      </c>
      <c r="I256">
        <v>4</v>
      </c>
      <c r="J256">
        <v>11148.06</v>
      </c>
      <c r="K256">
        <v>0.1</v>
      </c>
      <c r="L256">
        <v>40133.019999999997</v>
      </c>
      <c r="M256">
        <v>32979.370000000003</v>
      </c>
      <c r="N256">
        <v>7153.65</v>
      </c>
      <c r="O256">
        <f t="shared" si="9"/>
        <v>44592.24</v>
      </c>
      <c r="P256">
        <f t="shared" si="10"/>
        <v>4459.2240000000002</v>
      </c>
      <c r="Q256">
        <f t="shared" si="11"/>
        <v>17.824848466424907</v>
      </c>
    </row>
    <row r="257" spans="1:17" x14ac:dyDescent="0.3">
      <c r="A257" t="s">
        <v>433</v>
      </c>
      <c r="B257" s="2">
        <v>46071</v>
      </c>
      <c r="C257" t="s">
        <v>120</v>
      </c>
      <c r="D257" t="s">
        <v>16</v>
      </c>
      <c r="E257" t="s">
        <v>17</v>
      </c>
      <c r="F257" t="s">
        <v>79</v>
      </c>
      <c r="G257" t="s">
        <v>31</v>
      </c>
      <c r="H257" t="s">
        <v>25</v>
      </c>
      <c r="I257">
        <v>1</v>
      </c>
      <c r="J257">
        <v>9566.0400000000009</v>
      </c>
      <c r="K257">
        <v>0.15</v>
      </c>
      <c r="L257">
        <v>8131.13</v>
      </c>
      <c r="M257">
        <v>6649.86</v>
      </c>
      <c r="N257">
        <v>1481.27</v>
      </c>
      <c r="O257">
        <f t="shared" si="9"/>
        <v>9566.0400000000009</v>
      </c>
      <c r="P257">
        <f t="shared" si="10"/>
        <v>1434.9060000000002</v>
      </c>
      <c r="Q257">
        <f t="shared" si="11"/>
        <v>18.217271154193821</v>
      </c>
    </row>
    <row r="258" spans="1:17" x14ac:dyDescent="0.3">
      <c r="A258" t="s">
        <v>434</v>
      </c>
      <c r="B258" s="2">
        <v>46171</v>
      </c>
      <c r="C258" t="s">
        <v>324</v>
      </c>
      <c r="D258" t="s">
        <v>16</v>
      </c>
      <c r="E258" t="s">
        <v>17</v>
      </c>
      <c r="F258" t="s">
        <v>18</v>
      </c>
      <c r="G258" t="s">
        <v>19</v>
      </c>
      <c r="H258" t="s">
        <v>103</v>
      </c>
      <c r="I258">
        <v>5</v>
      </c>
      <c r="J258">
        <v>9393.09</v>
      </c>
      <c r="K258">
        <v>0.05</v>
      </c>
      <c r="L258">
        <v>44617.18</v>
      </c>
      <c r="M258">
        <v>33473.199999999997</v>
      </c>
      <c r="N258">
        <v>11143.98</v>
      </c>
      <c r="O258">
        <f t="shared" si="9"/>
        <v>46965.45</v>
      </c>
      <c r="P258">
        <f t="shared" si="10"/>
        <v>2348.2725</v>
      </c>
      <c r="Q258">
        <f t="shared" si="11"/>
        <v>24.976881102750106</v>
      </c>
    </row>
    <row r="259" spans="1:17" x14ac:dyDescent="0.3">
      <c r="A259" t="s">
        <v>435</v>
      </c>
      <c r="B259" s="2">
        <v>46248</v>
      </c>
      <c r="C259" t="s">
        <v>436</v>
      </c>
      <c r="D259" t="s">
        <v>102</v>
      </c>
      <c r="E259" t="s">
        <v>29</v>
      </c>
      <c r="F259" t="s">
        <v>37</v>
      </c>
      <c r="G259" t="s">
        <v>31</v>
      </c>
      <c r="H259" t="s">
        <v>50</v>
      </c>
      <c r="I259">
        <v>2</v>
      </c>
      <c r="J259">
        <v>4375.2700000000004</v>
      </c>
      <c r="K259">
        <v>0</v>
      </c>
      <c r="L259">
        <v>8750.5400000000009</v>
      </c>
      <c r="M259">
        <v>7134.66</v>
      </c>
      <c r="N259">
        <v>1615.88</v>
      </c>
      <c r="O259">
        <f t="shared" ref="O259:O322" si="12">I259*J259</f>
        <v>8750.5400000000009</v>
      </c>
      <c r="P259">
        <f t="shared" ref="P259:P322" si="13">O259*K259</f>
        <v>0</v>
      </c>
      <c r="Q259">
        <f t="shared" ref="Q259:Q322" si="14">N259/L259*100</f>
        <v>18.466060380273674</v>
      </c>
    </row>
    <row r="260" spans="1:17" x14ac:dyDescent="0.3">
      <c r="A260" t="s">
        <v>437</v>
      </c>
      <c r="B260" s="2">
        <v>46146</v>
      </c>
      <c r="C260" t="s">
        <v>324</v>
      </c>
      <c r="D260" t="s">
        <v>72</v>
      </c>
      <c r="E260" t="s">
        <v>29</v>
      </c>
      <c r="F260" t="s">
        <v>41</v>
      </c>
      <c r="G260" t="s">
        <v>42</v>
      </c>
      <c r="H260" t="s">
        <v>32</v>
      </c>
      <c r="I260">
        <v>4</v>
      </c>
      <c r="J260">
        <v>9928.41</v>
      </c>
      <c r="K260">
        <v>0</v>
      </c>
      <c r="L260">
        <v>39713.64</v>
      </c>
      <c r="M260">
        <v>35163.24</v>
      </c>
      <c r="N260">
        <v>4550.3999999999996</v>
      </c>
      <c r="O260">
        <f t="shared" si="12"/>
        <v>39713.64</v>
      </c>
      <c r="P260">
        <f t="shared" si="13"/>
        <v>0</v>
      </c>
      <c r="Q260">
        <f t="shared" si="14"/>
        <v>11.458028022613892</v>
      </c>
    </row>
    <row r="261" spans="1:17" x14ac:dyDescent="0.3">
      <c r="A261" t="s">
        <v>438</v>
      </c>
      <c r="B261" s="2">
        <v>46196</v>
      </c>
      <c r="C261" t="s">
        <v>345</v>
      </c>
      <c r="D261" t="s">
        <v>89</v>
      </c>
      <c r="E261" t="s">
        <v>90</v>
      </c>
      <c r="F261" t="s">
        <v>18</v>
      </c>
      <c r="G261" t="s">
        <v>19</v>
      </c>
      <c r="H261" t="s">
        <v>69</v>
      </c>
      <c r="I261">
        <v>2</v>
      </c>
      <c r="J261">
        <v>27840.720000000001</v>
      </c>
      <c r="K261">
        <v>0.1</v>
      </c>
      <c r="L261">
        <v>50113.3</v>
      </c>
      <c r="M261">
        <v>36915.24</v>
      </c>
      <c r="N261">
        <v>13198.06</v>
      </c>
      <c r="O261">
        <f t="shared" si="12"/>
        <v>55681.440000000002</v>
      </c>
      <c r="P261">
        <f t="shared" si="13"/>
        <v>5568.1440000000002</v>
      </c>
      <c r="Q261">
        <f t="shared" si="14"/>
        <v>26.336441623281644</v>
      </c>
    </row>
    <row r="262" spans="1:17" x14ac:dyDescent="0.3">
      <c r="A262" t="s">
        <v>439</v>
      </c>
      <c r="B262" s="2">
        <v>46040</v>
      </c>
      <c r="C262" t="s">
        <v>211</v>
      </c>
      <c r="D262" t="s">
        <v>85</v>
      </c>
      <c r="E262" t="s">
        <v>17</v>
      </c>
      <c r="F262" t="s">
        <v>30</v>
      </c>
      <c r="G262" t="s">
        <v>31</v>
      </c>
      <c r="H262" t="s">
        <v>50</v>
      </c>
      <c r="I262">
        <v>6</v>
      </c>
      <c r="J262">
        <v>4909.2700000000004</v>
      </c>
      <c r="K262">
        <v>0.05</v>
      </c>
      <c r="L262">
        <v>27982.84</v>
      </c>
      <c r="M262">
        <v>20960.88</v>
      </c>
      <c r="N262">
        <v>7021.96</v>
      </c>
      <c r="O262">
        <f t="shared" si="12"/>
        <v>29455.620000000003</v>
      </c>
      <c r="P262">
        <f t="shared" si="13"/>
        <v>1472.7810000000002</v>
      </c>
      <c r="Q262">
        <f t="shared" si="14"/>
        <v>25.093807490590663</v>
      </c>
    </row>
    <row r="263" spans="1:17" x14ac:dyDescent="0.3">
      <c r="A263" t="s">
        <v>440</v>
      </c>
      <c r="B263" s="2">
        <v>46257</v>
      </c>
      <c r="C263" t="s">
        <v>328</v>
      </c>
      <c r="D263" t="s">
        <v>62</v>
      </c>
      <c r="E263" t="s">
        <v>24</v>
      </c>
      <c r="F263" t="s">
        <v>53</v>
      </c>
      <c r="G263" t="s">
        <v>46</v>
      </c>
      <c r="H263" t="s">
        <v>25</v>
      </c>
      <c r="I263">
        <v>5</v>
      </c>
      <c r="J263">
        <v>23028.46</v>
      </c>
      <c r="K263">
        <v>0</v>
      </c>
      <c r="L263">
        <v>115142.3</v>
      </c>
      <c r="M263">
        <v>102111.31</v>
      </c>
      <c r="N263">
        <v>13030.99</v>
      </c>
      <c r="O263">
        <f t="shared" si="12"/>
        <v>115142.29999999999</v>
      </c>
      <c r="P263">
        <f t="shared" si="13"/>
        <v>0</v>
      </c>
      <c r="Q263">
        <f t="shared" si="14"/>
        <v>11.317291733793748</v>
      </c>
    </row>
    <row r="264" spans="1:17" x14ac:dyDescent="0.3">
      <c r="A264" t="s">
        <v>441</v>
      </c>
      <c r="B264" s="2">
        <v>46117</v>
      </c>
      <c r="C264" t="s">
        <v>237</v>
      </c>
      <c r="D264" t="s">
        <v>35</v>
      </c>
      <c r="E264" t="s">
        <v>36</v>
      </c>
      <c r="F264" t="s">
        <v>49</v>
      </c>
      <c r="G264" t="s">
        <v>46</v>
      </c>
      <c r="H264" t="s">
        <v>103</v>
      </c>
      <c r="I264">
        <v>4</v>
      </c>
      <c r="J264">
        <v>16218.93</v>
      </c>
      <c r="K264">
        <v>0.05</v>
      </c>
      <c r="L264">
        <v>61631.93</v>
      </c>
      <c r="M264">
        <v>54309.97</v>
      </c>
      <c r="N264">
        <v>7321.96</v>
      </c>
      <c r="O264">
        <f t="shared" si="12"/>
        <v>64875.72</v>
      </c>
      <c r="P264">
        <f t="shared" si="13"/>
        <v>3243.7860000000001</v>
      </c>
      <c r="Q264">
        <f t="shared" si="14"/>
        <v>11.880140699796355</v>
      </c>
    </row>
    <row r="265" spans="1:17" x14ac:dyDescent="0.3">
      <c r="A265" t="s">
        <v>442</v>
      </c>
      <c r="B265" s="2">
        <v>46025</v>
      </c>
      <c r="C265" t="s">
        <v>250</v>
      </c>
      <c r="D265" t="s">
        <v>35</v>
      </c>
      <c r="E265" t="s">
        <v>36</v>
      </c>
      <c r="F265" t="s">
        <v>53</v>
      </c>
      <c r="G265" t="s">
        <v>46</v>
      </c>
      <c r="H265" t="s">
        <v>103</v>
      </c>
      <c r="I265">
        <v>5</v>
      </c>
      <c r="J265">
        <v>23690.57</v>
      </c>
      <c r="K265">
        <v>0</v>
      </c>
      <c r="L265">
        <v>118452.85</v>
      </c>
      <c r="M265">
        <v>99770.79</v>
      </c>
      <c r="N265">
        <v>18682.060000000001</v>
      </c>
      <c r="O265">
        <f t="shared" si="12"/>
        <v>118452.85</v>
      </c>
      <c r="P265">
        <f t="shared" si="13"/>
        <v>0</v>
      </c>
      <c r="Q265">
        <f t="shared" si="14"/>
        <v>15.771726893865365</v>
      </c>
    </row>
    <row r="266" spans="1:17" x14ac:dyDescent="0.3">
      <c r="A266" t="s">
        <v>443</v>
      </c>
      <c r="B266" s="2">
        <v>46251</v>
      </c>
      <c r="C266" t="s">
        <v>343</v>
      </c>
      <c r="D266" t="s">
        <v>35</v>
      </c>
      <c r="E266" t="s">
        <v>36</v>
      </c>
      <c r="F266" t="s">
        <v>18</v>
      </c>
      <c r="G266" t="s">
        <v>19</v>
      </c>
      <c r="H266" t="s">
        <v>103</v>
      </c>
      <c r="I266">
        <v>1</v>
      </c>
      <c r="J266">
        <v>16692.71</v>
      </c>
      <c r="K266">
        <v>0.05</v>
      </c>
      <c r="L266">
        <v>15858.07</v>
      </c>
      <c r="M266">
        <v>11643.41</v>
      </c>
      <c r="N266">
        <v>4214.66</v>
      </c>
      <c r="O266">
        <f t="shared" si="12"/>
        <v>16692.71</v>
      </c>
      <c r="P266">
        <f t="shared" si="13"/>
        <v>834.63549999999998</v>
      </c>
      <c r="Q266">
        <f t="shared" si="14"/>
        <v>26.577382998057143</v>
      </c>
    </row>
    <row r="267" spans="1:17" x14ac:dyDescent="0.3">
      <c r="A267" t="s">
        <v>444</v>
      </c>
      <c r="B267" s="2">
        <v>46246</v>
      </c>
      <c r="C267" t="s">
        <v>353</v>
      </c>
      <c r="D267" t="s">
        <v>72</v>
      </c>
      <c r="E267" t="s">
        <v>29</v>
      </c>
      <c r="F267" t="s">
        <v>45</v>
      </c>
      <c r="G267" t="s">
        <v>46</v>
      </c>
      <c r="H267" t="s">
        <v>69</v>
      </c>
      <c r="I267">
        <v>2</v>
      </c>
      <c r="J267">
        <v>25201.78</v>
      </c>
      <c r="K267">
        <v>0.05</v>
      </c>
      <c r="L267">
        <v>47883.38</v>
      </c>
      <c r="M267">
        <v>41497.620000000003</v>
      </c>
      <c r="N267">
        <v>6385.76</v>
      </c>
      <c r="O267">
        <f t="shared" si="12"/>
        <v>50403.56</v>
      </c>
      <c r="P267">
        <f t="shared" si="13"/>
        <v>2520.1779999999999</v>
      </c>
      <c r="Q267">
        <f t="shared" si="14"/>
        <v>13.336067754615485</v>
      </c>
    </row>
    <row r="268" spans="1:17" x14ac:dyDescent="0.3">
      <c r="A268" t="s">
        <v>445</v>
      </c>
      <c r="B268" s="2">
        <v>46134</v>
      </c>
      <c r="C268" t="s">
        <v>345</v>
      </c>
      <c r="D268" t="s">
        <v>108</v>
      </c>
      <c r="E268" t="s">
        <v>36</v>
      </c>
      <c r="F268" t="s">
        <v>41</v>
      </c>
      <c r="G268" t="s">
        <v>42</v>
      </c>
      <c r="H268" t="s">
        <v>69</v>
      </c>
      <c r="I268">
        <v>6</v>
      </c>
      <c r="J268">
        <v>19301.439999999999</v>
      </c>
      <c r="K268">
        <v>0.1</v>
      </c>
      <c r="L268">
        <v>104227.78</v>
      </c>
      <c r="M268">
        <v>83299.289999999994</v>
      </c>
      <c r="N268">
        <v>20928.490000000002</v>
      </c>
      <c r="O268">
        <f t="shared" si="12"/>
        <v>115808.63999999998</v>
      </c>
      <c r="P268">
        <f t="shared" si="13"/>
        <v>11580.864</v>
      </c>
      <c r="Q268">
        <f t="shared" si="14"/>
        <v>20.079569957260919</v>
      </c>
    </row>
    <row r="269" spans="1:17" x14ac:dyDescent="0.3">
      <c r="A269" t="s">
        <v>446</v>
      </c>
      <c r="B269" s="2">
        <v>46036</v>
      </c>
      <c r="C269" t="s">
        <v>447</v>
      </c>
      <c r="D269" t="s">
        <v>62</v>
      </c>
      <c r="E269" t="s">
        <v>24</v>
      </c>
      <c r="F269" t="s">
        <v>45</v>
      </c>
      <c r="G269" t="s">
        <v>46</v>
      </c>
      <c r="H269" t="s">
        <v>103</v>
      </c>
      <c r="I269">
        <v>4</v>
      </c>
      <c r="J269">
        <v>52933.82</v>
      </c>
      <c r="K269">
        <v>0</v>
      </c>
      <c r="L269">
        <v>211735.28</v>
      </c>
      <c r="M269">
        <v>196193.93</v>
      </c>
      <c r="N269">
        <v>15541.35</v>
      </c>
      <c r="O269">
        <f t="shared" si="12"/>
        <v>211735.28</v>
      </c>
      <c r="P269">
        <f t="shared" si="13"/>
        <v>0</v>
      </c>
      <c r="Q269">
        <f t="shared" si="14"/>
        <v>7.3399907658279719</v>
      </c>
    </row>
    <row r="270" spans="1:17" x14ac:dyDescent="0.3">
      <c r="A270" t="s">
        <v>448</v>
      </c>
      <c r="B270" s="2">
        <v>46233</v>
      </c>
      <c r="C270" t="s">
        <v>66</v>
      </c>
      <c r="D270" t="s">
        <v>85</v>
      </c>
      <c r="E270" t="s">
        <v>17</v>
      </c>
      <c r="F270" t="s">
        <v>37</v>
      </c>
      <c r="G270" t="s">
        <v>31</v>
      </c>
      <c r="H270" t="s">
        <v>50</v>
      </c>
      <c r="I270">
        <v>5</v>
      </c>
      <c r="J270">
        <v>4630.63</v>
      </c>
      <c r="K270">
        <v>0.05</v>
      </c>
      <c r="L270">
        <v>21995.49</v>
      </c>
      <c r="M270">
        <v>16856.29</v>
      </c>
      <c r="N270">
        <v>5139.2</v>
      </c>
      <c r="O270">
        <f t="shared" si="12"/>
        <v>23153.15</v>
      </c>
      <c r="P270">
        <f t="shared" si="13"/>
        <v>1157.6575</v>
      </c>
      <c r="Q270">
        <f t="shared" si="14"/>
        <v>23.364789781905287</v>
      </c>
    </row>
    <row r="271" spans="1:17" x14ac:dyDescent="0.3">
      <c r="A271" t="s">
        <v>449</v>
      </c>
      <c r="B271" s="2">
        <v>46224</v>
      </c>
      <c r="C271" t="s">
        <v>190</v>
      </c>
      <c r="D271" t="s">
        <v>113</v>
      </c>
      <c r="E271" t="s">
        <v>17</v>
      </c>
      <c r="F271" t="s">
        <v>79</v>
      </c>
      <c r="G271" t="s">
        <v>31</v>
      </c>
      <c r="H271" t="s">
        <v>20</v>
      </c>
      <c r="I271">
        <v>5</v>
      </c>
      <c r="J271">
        <v>3158.25</v>
      </c>
      <c r="K271">
        <v>0</v>
      </c>
      <c r="L271">
        <v>15791.25</v>
      </c>
      <c r="M271">
        <v>12688.8</v>
      </c>
      <c r="N271">
        <v>3102.45</v>
      </c>
      <c r="O271">
        <f t="shared" si="12"/>
        <v>15791.25</v>
      </c>
      <c r="P271">
        <f t="shared" si="13"/>
        <v>0</v>
      </c>
      <c r="Q271">
        <f t="shared" si="14"/>
        <v>19.646639753027785</v>
      </c>
    </row>
    <row r="272" spans="1:17" x14ac:dyDescent="0.3">
      <c r="A272" t="s">
        <v>450</v>
      </c>
      <c r="B272" s="2">
        <v>46036</v>
      </c>
      <c r="C272" t="s">
        <v>396</v>
      </c>
      <c r="D272" t="s">
        <v>106</v>
      </c>
      <c r="E272" t="s">
        <v>90</v>
      </c>
      <c r="F272" t="s">
        <v>18</v>
      </c>
      <c r="G272" t="s">
        <v>19</v>
      </c>
      <c r="H272" t="s">
        <v>25</v>
      </c>
      <c r="I272">
        <v>2</v>
      </c>
      <c r="J272">
        <v>9186.8799999999992</v>
      </c>
      <c r="K272">
        <v>0.05</v>
      </c>
      <c r="L272">
        <v>17455.07</v>
      </c>
      <c r="M272">
        <v>13487.9</v>
      </c>
      <c r="N272">
        <v>3967.17</v>
      </c>
      <c r="O272">
        <f t="shared" si="12"/>
        <v>18373.759999999998</v>
      </c>
      <c r="P272">
        <f t="shared" si="13"/>
        <v>918.68799999999999</v>
      </c>
      <c r="Q272">
        <f t="shared" si="14"/>
        <v>22.727895104402332</v>
      </c>
    </row>
    <row r="273" spans="1:17" x14ac:dyDescent="0.3">
      <c r="A273" t="s">
        <v>451</v>
      </c>
      <c r="B273" s="2">
        <v>46180</v>
      </c>
      <c r="C273" t="s">
        <v>349</v>
      </c>
      <c r="D273" t="s">
        <v>123</v>
      </c>
      <c r="E273" t="s">
        <v>90</v>
      </c>
      <c r="F273" t="s">
        <v>49</v>
      </c>
      <c r="G273" t="s">
        <v>46</v>
      </c>
      <c r="H273" t="s">
        <v>103</v>
      </c>
      <c r="I273">
        <v>4</v>
      </c>
      <c r="J273">
        <v>19554.98</v>
      </c>
      <c r="K273">
        <v>0</v>
      </c>
      <c r="L273">
        <v>78219.92</v>
      </c>
      <c r="M273">
        <v>68263.759999999995</v>
      </c>
      <c r="N273">
        <v>9956.16</v>
      </c>
      <c r="O273">
        <f t="shared" si="12"/>
        <v>78219.92</v>
      </c>
      <c r="P273">
        <f t="shared" si="13"/>
        <v>0</v>
      </c>
      <c r="Q273">
        <f t="shared" si="14"/>
        <v>12.728420075090845</v>
      </c>
    </row>
    <row r="274" spans="1:17" x14ac:dyDescent="0.3">
      <c r="A274" t="s">
        <v>452</v>
      </c>
      <c r="B274" s="2">
        <v>46131</v>
      </c>
      <c r="C274" t="s">
        <v>218</v>
      </c>
      <c r="D274" t="s">
        <v>28</v>
      </c>
      <c r="E274" t="s">
        <v>29</v>
      </c>
      <c r="F274" t="s">
        <v>37</v>
      </c>
      <c r="G274" t="s">
        <v>31</v>
      </c>
      <c r="H274" t="s">
        <v>54</v>
      </c>
      <c r="I274">
        <v>7</v>
      </c>
      <c r="J274">
        <v>7515.29</v>
      </c>
      <c r="K274">
        <v>0.1</v>
      </c>
      <c r="L274">
        <v>47346.33</v>
      </c>
      <c r="M274">
        <v>37761.75</v>
      </c>
      <c r="N274">
        <v>9584.58</v>
      </c>
      <c r="O274">
        <f t="shared" si="12"/>
        <v>52607.03</v>
      </c>
      <c r="P274">
        <f t="shared" si="13"/>
        <v>5260.7030000000004</v>
      </c>
      <c r="Q274">
        <f t="shared" si="14"/>
        <v>20.243554252251442</v>
      </c>
    </row>
    <row r="275" spans="1:17" x14ac:dyDescent="0.3">
      <c r="A275" t="s">
        <v>453</v>
      </c>
      <c r="B275" s="2">
        <v>46135</v>
      </c>
      <c r="C275" t="s">
        <v>142</v>
      </c>
      <c r="D275" t="s">
        <v>126</v>
      </c>
      <c r="E275" t="s">
        <v>24</v>
      </c>
      <c r="F275" t="s">
        <v>86</v>
      </c>
      <c r="G275" t="s">
        <v>46</v>
      </c>
      <c r="H275" t="s">
        <v>32</v>
      </c>
      <c r="I275">
        <v>4</v>
      </c>
      <c r="J275">
        <v>48544.02</v>
      </c>
      <c r="K275">
        <v>0</v>
      </c>
      <c r="L275">
        <v>194176.08</v>
      </c>
      <c r="M275">
        <v>163081.35999999999</v>
      </c>
      <c r="N275">
        <v>31094.720000000001</v>
      </c>
      <c r="O275">
        <f t="shared" si="12"/>
        <v>194176.08</v>
      </c>
      <c r="P275">
        <f t="shared" si="13"/>
        <v>0</v>
      </c>
      <c r="Q275">
        <f t="shared" si="14"/>
        <v>16.013671714868281</v>
      </c>
    </row>
    <row r="276" spans="1:17" x14ac:dyDescent="0.3">
      <c r="A276" t="s">
        <v>454</v>
      </c>
      <c r="B276" s="2">
        <v>46140</v>
      </c>
      <c r="C276" t="s">
        <v>74</v>
      </c>
      <c r="D276" t="s">
        <v>108</v>
      </c>
      <c r="E276" t="s">
        <v>36</v>
      </c>
      <c r="F276" t="s">
        <v>86</v>
      </c>
      <c r="G276" t="s">
        <v>46</v>
      </c>
      <c r="H276" t="s">
        <v>50</v>
      </c>
      <c r="I276">
        <v>4</v>
      </c>
      <c r="J276">
        <v>61849.919999999998</v>
      </c>
      <c r="K276">
        <v>0.05</v>
      </c>
      <c r="L276">
        <v>235029.7</v>
      </c>
      <c r="M276">
        <v>212037.86</v>
      </c>
      <c r="N276">
        <v>22991.84</v>
      </c>
      <c r="O276">
        <f t="shared" si="12"/>
        <v>247399.67999999999</v>
      </c>
      <c r="P276">
        <f t="shared" si="13"/>
        <v>12369.984</v>
      </c>
      <c r="Q276">
        <f t="shared" si="14"/>
        <v>9.7825253574335491</v>
      </c>
    </row>
    <row r="277" spans="1:17" x14ac:dyDescent="0.3">
      <c r="A277" t="s">
        <v>455</v>
      </c>
      <c r="B277" s="2">
        <v>46069</v>
      </c>
      <c r="C277" t="s">
        <v>320</v>
      </c>
      <c r="D277" t="s">
        <v>145</v>
      </c>
      <c r="E277" t="s">
        <v>36</v>
      </c>
      <c r="F277" t="s">
        <v>57</v>
      </c>
      <c r="G277" t="s">
        <v>19</v>
      </c>
      <c r="H277" t="s">
        <v>32</v>
      </c>
      <c r="I277">
        <v>5</v>
      </c>
      <c r="J277">
        <v>14721.83</v>
      </c>
      <c r="K277">
        <v>0</v>
      </c>
      <c r="L277">
        <v>73609.149999999994</v>
      </c>
      <c r="M277">
        <v>57159.839999999997</v>
      </c>
      <c r="N277">
        <v>16449.310000000001</v>
      </c>
      <c r="O277">
        <f t="shared" si="12"/>
        <v>73609.149999999994</v>
      </c>
      <c r="P277">
        <f t="shared" si="13"/>
        <v>0</v>
      </c>
      <c r="Q277">
        <f t="shared" si="14"/>
        <v>22.346827806054005</v>
      </c>
    </row>
    <row r="278" spans="1:17" x14ac:dyDescent="0.3">
      <c r="A278" t="s">
        <v>456</v>
      </c>
      <c r="B278" s="2">
        <v>46129</v>
      </c>
      <c r="C278" t="s">
        <v>93</v>
      </c>
      <c r="D278" t="s">
        <v>89</v>
      </c>
      <c r="E278" t="s">
        <v>90</v>
      </c>
      <c r="F278" t="s">
        <v>53</v>
      </c>
      <c r="G278" t="s">
        <v>46</v>
      </c>
      <c r="H278" t="s">
        <v>25</v>
      </c>
      <c r="I278">
        <v>1</v>
      </c>
      <c r="J278">
        <v>16099.84</v>
      </c>
      <c r="K278">
        <v>0.1</v>
      </c>
      <c r="L278">
        <v>14489.86</v>
      </c>
      <c r="M278">
        <v>11906.92</v>
      </c>
      <c r="N278">
        <v>2582.94</v>
      </c>
      <c r="O278">
        <f t="shared" si="12"/>
        <v>16099.84</v>
      </c>
      <c r="P278">
        <f t="shared" si="13"/>
        <v>1609.9840000000002</v>
      </c>
      <c r="Q278">
        <f t="shared" si="14"/>
        <v>17.825845108234308</v>
      </c>
    </row>
    <row r="279" spans="1:17" x14ac:dyDescent="0.3">
      <c r="A279" t="s">
        <v>457</v>
      </c>
      <c r="B279" s="2">
        <v>46057</v>
      </c>
      <c r="C279" t="s">
        <v>247</v>
      </c>
      <c r="D279" t="s">
        <v>145</v>
      </c>
      <c r="E279" t="s">
        <v>36</v>
      </c>
      <c r="F279" t="s">
        <v>37</v>
      </c>
      <c r="G279" t="s">
        <v>31</v>
      </c>
      <c r="H279" t="s">
        <v>25</v>
      </c>
      <c r="I279">
        <v>5</v>
      </c>
      <c r="J279">
        <v>8918.2099999999991</v>
      </c>
      <c r="K279">
        <v>0.05</v>
      </c>
      <c r="L279">
        <v>42361.5</v>
      </c>
      <c r="M279">
        <v>33986.26</v>
      </c>
      <c r="N279">
        <v>8375.24</v>
      </c>
      <c r="O279">
        <f t="shared" si="12"/>
        <v>44591.049999999996</v>
      </c>
      <c r="P279">
        <f t="shared" si="13"/>
        <v>2229.5524999999998</v>
      </c>
      <c r="Q279">
        <f t="shared" si="14"/>
        <v>19.77087685752393</v>
      </c>
    </row>
    <row r="280" spans="1:17" x14ac:dyDescent="0.3">
      <c r="A280" t="s">
        <v>458</v>
      </c>
      <c r="B280" s="2">
        <v>46214</v>
      </c>
      <c r="C280" t="s">
        <v>78</v>
      </c>
      <c r="D280" t="s">
        <v>85</v>
      </c>
      <c r="E280" t="s">
        <v>17</v>
      </c>
      <c r="F280" t="s">
        <v>79</v>
      </c>
      <c r="G280" t="s">
        <v>31</v>
      </c>
      <c r="H280" t="s">
        <v>103</v>
      </c>
      <c r="I280">
        <v>4</v>
      </c>
      <c r="J280">
        <v>2641.58</v>
      </c>
      <c r="K280">
        <v>0</v>
      </c>
      <c r="L280">
        <v>10566.32</v>
      </c>
      <c r="M280">
        <v>8056.73</v>
      </c>
      <c r="N280">
        <v>2509.59</v>
      </c>
      <c r="O280">
        <f t="shared" si="12"/>
        <v>10566.32</v>
      </c>
      <c r="P280">
        <f t="shared" si="13"/>
        <v>0</v>
      </c>
      <c r="Q280">
        <f t="shared" si="14"/>
        <v>23.750842298927161</v>
      </c>
    </row>
    <row r="281" spans="1:17" x14ac:dyDescent="0.3">
      <c r="A281" t="s">
        <v>459</v>
      </c>
      <c r="B281" s="2">
        <v>46122</v>
      </c>
      <c r="C281" t="s">
        <v>460</v>
      </c>
      <c r="D281" t="s">
        <v>113</v>
      </c>
      <c r="E281" t="s">
        <v>17</v>
      </c>
      <c r="F281" t="s">
        <v>41</v>
      </c>
      <c r="G281" t="s">
        <v>42</v>
      </c>
      <c r="H281" t="s">
        <v>103</v>
      </c>
      <c r="I281">
        <v>4</v>
      </c>
      <c r="J281">
        <v>9813.7999999999993</v>
      </c>
      <c r="K281">
        <v>0</v>
      </c>
      <c r="L281">
        <v>39255.199999999997</v>
      </c>
      <c r="M281">
        <v>33450.910000000003</v>
      </c>
      <c r="N281">
        <v>5804.29</v>
      </c>
      <c r="O281">
        <f t="shared" si="12"/>
        <v>39255.199999999997</v>
      </c>
      <c r="P281">
        <f t="shared" si="13"/>
        <v>0</v>
      </c>
      <c r="Q281">
        <f t="shared" si="14"/>
        <v>14.786041085002752</v>
      </c>
    </row>
    <row r="282" spans="1:17" x14ac:dyDescent="0.3">
      <c r="A282" t="s">
        <v>461</v>
      </c>
      <c r="B282" s="2">
        <v>46058</v>
      </c>
      <c r="C282" t="s">
        <v>52</v>
      </c>
      <c r="D282" t="s">
        <v>85</v>
      </c>
      <c r="E282" t="s">
        <v>17</v>
      </c>
      <c r="F282" t="s">
        <v>18</v>
      </c>
      <c r="G282" t="s">
        <v>19</v>
      </c>
      <c r="H282" t="s">
        <v>103</v>
      </c>
      <c r="I282">
        <v>6</v>
      </c>
      <c r="J282">
        <v>8198.15</v>
      </c>
      <c r="K282">
        <v>0</v>
      </c>
      <c r="L282">
        <v>49188.9</v>
      </c>
      <c r="M282">
        <v>39691.19</v>
      </c>
      <c r="N282">
        <v>9497.7099999999991</v>
      </c>
      <c r="O282">
        <f t="shared" si="12"/>
        <v>49188.899999999994</v>
      </c>
      <c r="P282">
        <f t="shared" si="13"/>
        <v>0</v>
      </c>
      <c r="Q282">
        <f t="shared" si="14"/>
        <v>19.308644836538321</v>
      </c>
    </row>
    <row r="283" spans="1:17" x14ac:dyDescent="0.3">
      <c r="A283" t="s">
        <v>462</v>
      </c>
      <c r="B283" s="2">
        <v>46204</v>
      </c>
      <c r="C283" t="s">
        <v>463</v>
      </c>
      <c r="D283" t="s">
        <v>35</v>
      </c>
      <c r="E283" t="s">
        <v>36</v>
      </c>
      <c r="F283" t="s">
        <v>37</v>
      </c>
      <c r="G283" t="s">
        <v>31</v>
      </c>
      <c r="H283" t="s">
        <v>38</v>
      </c>
      <c r="I283">
        <v>6</v>
      </c>
      <c r="J283">
        <v>8680.7099999999991</v>
      </c>
      <c r="K283">
        <v>0</v>
      </c>
      <c r="L283">
        <v>52084.26</v>
      </c>
      <c r="M283">
        <v>41745.089999999997</v>
      </c>
      <c r="N283">
        <v>10339.17</v>
      </c>
      <c r="O283">
        <f t="shared" si="12"/>
        <v>52084.259999999995</v>
      </c>
      <c r="P283">
        <f t="shared" si="13"/>
        <v>0</v>
      </c>
      <c r="Q283">
        <f t="shared" si="14"/>
        <v>19.850853213619622</v>
      </c>
    </row>
    <row r="284" spans="1:17" x14ac:dyDescent="0.3">
      <c r="A284" t="s">
        <v>464</v>
      </c>
      <c r="B284" s="2">
        <v>46272</v>
      </c>
      <c r="C284" t="s">
        <v>465</v>
      </c>
      <c r="D284" t="s">
        <v>102</v>
      </c>
      <c r="E284" t="s">
        <v>29</v>
      </c>
      <c r="F284" t="s">
        <v>41</v>
      </c>
      <c r="G284" t="s">
        <v>42</v>
      </c>
      <c r="H284" t="s">
        <v>54</v>
      </c>
      <c r="I284">
        <v>2</v>
      </c>
      <c r="J284">
        <v>14302.09</v>
      </c>
      <c r="K284">
        <v>0</v>
      </c>
      <c r="L284">
        <v>28604.18</v>
      </c>
      <c r="M284">
        <v>24551.51</v>
      </c>
      <c r="N284">
        <v>4052.67</v>
      </c>
      <c r="O284">
        <f t="shared" si="12"/>
        <v>28604.18</v>
      </c>
      <c r="P284">
        <f t="shared" si="13"/>
        <v>0</v>
      </c>
      <c r="Q284">
        <f t="shared" si="14"/>
        <v>14.16810410226757</v>
      </c>
    </row>
    <row r="285" spans="1:17" x14ac:dyDescent="0.3">
      <c r="A285" t="s">
        <v>466</v>
      </c>
      <c r="B285" s="2">
        <v>46182</v>
      </c>
      <c r="C285" t="s">
        <v>155</v>
      </c>
      <c r="D285" t="s">
        <v>23</v>
      </c>
      <c r="E285" t="s">
        <v>24</v>
      </c>
      <c r="F285" t="s">
        <v>79</v>
      </c>
      <c r="G285" t="s">
        <v>31</v>
      </c>
      <c r="H285" t="s">
        <v>103</v>
      </c>
      <c r="I285">
        <v>7</v>
      </c>
      <c r="J285">
        <v>2582.27</v>
      </c>
      <c r="K285">
        <v>0</v>
      </c>
      <c r="L285">
        <v>18075.89</v>
      </c>
      <c r="M285">
        <v>13961.4</v>
      </c>
      <c r="N285">
        <v>4114.49</v>
      </c>
      <c r="O285">
        <f t="shared" si="12"/>
        <v>18075.89</v>
      </c>
      <c r="P285">
        <f t="shared" si="13"/>
        <v>0</v>
      </c>
      <c r="Q285">
        <f t="shared" si="14"/>
        <v>22.762309352402564</v>
      </c>
    </row>
    <row r="286" spans="1:17" x14ac:dyDescent="0.3">
      <c r="A286" t="s">
        <v>467</v>
      </c>
      <c r="B286" s="2">
        <v>46164</v>
      </c>
      <c r="C286" t="s">
        <v>27</v>
      </c>
      <c r="D286" t="s">
        <v>62</v>
      </c>
      <c r="E286" t="s">
        <v>24</v>
      </c>
      <c r="F286" t="s">
        <v>30</v>
      </c>
      <c r="G286" t="s">
        <v>31</v>
      </c>
      <c r="H286" t="s">
        <v>32</v>
      </c>
      <c r="I286">
        <v>2</v>
      </c>
      <c r="J286">
        <v>4921.45</v>
      </c>
      <c r="K286">
        <v>0</v>
      </c>
      <c r="L286">
        <v>9842.9</v>
      </c>
      <c r="M286">
        <v>7438.57</v>
      </c>
      <c r="N286">
        <v>2404.33</v>
      </c>
      <c r="O286">
        <f t="shared" si="12"/>
        <v>9842.9</v>
      </c>
      <c r="P286">
        <f t="shared" si="13"/>
        <v>0</v>
      </c>
      <c r="Q286">
        <f t="shared" si="14"/>
        <v>24.427048938829003</v>
      </c>
    </row>
    <row r="287" spans="1:17" x14ac:dyDescent="0.3">
      <c r="A287" t="s">
        <v>468</v>
      </c>
      <c r="B287" s="2">
        <v>46183</v>
      </c>
      <c r="C287" t="s">
        <v>216</v>
      </c>
      <c r="D287" t="s">
        <v>123</v>
      </c>
      <c r="E287" t="s">
        <v>90</v>
      </c>
      <c r="F287" t="s">
        <v>30</v>
      </c>
      <c r="G287" t="s">
        <v>31</v>
      </c>
      <c r="H287" t="s">
        <v>69</v>
      </c>
      <c r="I287">
        <v>2</v>
      </c>
      <c r="J287">
        <v>1746.33</v>
      </c>
      <c r="K287">
        <v>0</v>
      </c>
      <c r="L287">
        <v>3492.66</v>
      </c>
      <c r="M287">
        <v>2658.31</v>
      </c>
      <c r="N287">
        <v>834.35</v>
      </c>
      <c r="O287">
        <f t="shared" si="12"/>
        <v>3492.66</v>
      </c>
      <c r="P287">
        <f t="shared" si="13"/>
        <v>0</v>
      </c>
      <c r="Q287">
        <f t="shared" si="14"/>
        <v>23.888669380930295</v>
      </c>
    </row>
    <row r="288" spans="1:17" x14ac:dyDescent="0.3">
      <c r="A288" t="s">
        <v>469</v>
      </c>
      <c r="B288" s="2">
        <v>46174</v>
      </c>
      <c r="C288" t="s">
        <v>331</v>
      </c>
      <c r="D288" t="s">
        <v>108</v>
      </c>
      <c r="E288" t="s">
        <v>36</v>
      </c>
      <c r="F288" t="s">
        <v>45</v>
      </c>
      <c r="G288" t="s">
        <v>46</v>
      </c>
      <c r="H288" t="s">
        <v>25</v>
      </c>
      <c r="I288">
        <v>3</v>
      </c>
      <c r="J288">
        <v>35198.89</v>
      </c>
      <c r="K288">
        <v>0</v>
      </c>
      <c r="L288">
        <v>105596.67</v>
      </c>
      <c r="M288">
        <v>92533.82</v>
      </c>
      <c r="N288">
        <v>13062.85</v>
      </c>
      <c r="O288">
        <f t="shared" si="12"/>
        <v>105596.67</v>
      </c>
      <c r="P288">
        <f t="shared" si="13"/>
        <v>0</v>
      </c>
      <c r="Q288">
        <f t="shared" si="14"/>
        <v>12.370513198948414</v>
      </c>
    </row>
    <row r="289" spans="1:17" x14ac:dyDescent="0.3">
      <c r="A289" t="s">
        <v>470</v>
      </c>
      <c r="B289" s="2">
        <v>46220</v>
      </c>
      <c r="C289" t="s">
        <v>353</v>
      </c>
      <c r="D289" t="s">
        <v>123</v>
      </c>
      <c r="E289" t="s">
        <v>90</v>
      </c>
      <c r="F289" t="s">
        <v>86</v>
      </c>
      <c r="G289" t="s">
        <v>46</v>
      </c>
      <c r="H289" t="s">
        <v>25</v>
      </c>
      <c r="I289">
        <v>5</v>
      </c>
      <c r="J289">
        <v>62145.22</v>
      </c>
      <c r="K289">
        <v>0.1</v>
      </c>
      <c r="L289">
        <v>279653.49</v>
      </c>
      <c r="M289">
        <v>233511.35</v>
      </c>
      <c r="N289">
        <v>46142.14</v>
      </c>
      <c r="O289">
        <f t="shared" si="12"/>
        <v>310726.09999999998</v>
      </c>
      <c r="P289">
        <f t="shared" si="13"/>
        <v>31072.61</v>
      </c>
      <c r="Q289">
        <f t="shared" si="14"/>
        <v>16.499754750065875</v>
      </c>
    </row>
    <row r="290" spans="1:17" x14ac:dyDescent="0.3">
      <c r="A290" t="s">
        <v>471</v>
      </c>
      <c r="B290" s="2">
        <v>46120</v>
      </c>
      <c r="C290" t="s">
        <v>147</v>
      </c>
      <c r="D290" t="s">
        <v>106</v>
      </c>
      <c r="E290" t="s">
        <v>90</v>
      </c>
      <c r="F290" t="s">
        <v>57</v>
      </c>
      <c r="G290" t="s">
        <v>19</v>
      </c>
      <c r="H290" t="s">
        <v>32</v>
      </c>
      <c r="I290">
        <v>7</v>
      </c>
      <c r="J290">
        <v>14272.34</v>
      </c>
      <c r="K290">
        <v>0.05</v>
      </c>
      <c r="L290">
        <v>94911.06</v>
      </c>
      <c r="M290">
        <v>68642.67</v>
      </c>
      <c r="N290">
        <v>26268.39</v>
      </c>
      <c r="O290">
        <f t="shared" si="12"/>
        <v>99906.38</v>
      </c>
      <c r="P290">
        <f t="shared" si="13"/>
        <v>4995.3190000000004</v>
      </c>
      <c r="Q290">
        <f t="shared" si="14"/>
        <v>27.676848198724151</v>
      </c>
    </row>
    <row r="291" spans="1:17" x14ac:dyDescent="0.3">
      <c r="A291" t="s">
        <v>472</v>
      </c>
      <c r="B291" s="2">
        <v>46214</v>
      </c>
      <c r="C291" t="s">
        <v>88</v>
      </c>
      <c r="D291" t="s">
        <v>106</v>
      </c>
      <c r="E291" t="s">
        <v>90</v>
      </c>
      <c r="F291" t="s">
        <v>86</v>
      </c>
      <c r="G291" t="s">
        <v>46</v>
      </c>
      <c r="H291" t="s">
        <v>50</v>
      </c>
      <c r="I291">
        <v>7</v>
      </c>
      <c r="J291">
        <v>53054.55</v>
      </c>
      <c r="K291">
        <v>0.1</v>
      </c>
      <c r="L291">
        <v>334243.67</v>
      </c>
      <c r="M291">
        <v>289292.98</v>
      </c>
      <c r="N291">
        <v>44950.69</v>
      </c>
      <c r="O291">
        <f t="shared" si="12"/>
        <v>371381.85000000003</v>
      </c>
      <c r="P291">
        <f t="shared" si="13"/>
        <v>37138.185000000005</v>
      </c>
      <c r="Q291">
        <f t="shared" si="14"/>
        <v>13.448479069177289</v>
      </c>
    </row>
    <row r="292" spans="1:17" x14ac:dyDescent="0.3">
      <c r="A292" t="s">
        <v>473</v>
      </c>
      <c r="B292" s="2">
        <v>46236</v>
      </c>
      <c r="C292" t="s">
        <v>357</v>
      </c>
      <c r="D292" t="s">
        <v>35</v>
      </c>
      <c r="E292" t="s">
        <v>36</v>
      </c>
      <c r="F292" t="s">
        <v>18</v>
      </c>
      <c r="G292" t="s">
        <v>19</v>
      </c>
      <c r="H292" t="s">
        <v>69</v>
      </c>
      <c r="I292">
        <v>7</v>
      </c>
      <c r="J292">
        <v>9651.33</v>
      </c>
      <c r="K292">
        <v>0.1</v>
      </c>
      <c r="L292">
        <v>60803.38</v>
      </c>
      <c r="M292">
        <v>44722.75</v>
      </c>
      <c r="N292">
        <v>16080.63</v>
      </c>
      <c r="O292">
        <f t="shared" si="12"/>
        <v>67559.31</v>
      </c>
      <c r="P292">
        <f t="shared" si="13"/>
        <v>6755.9310000000005</v>
      </c>
      <c r="Q292">
        <f t="shared" si="14"/>
        <v>26.446934364504077</v>
      </c>
    </row>
    <row r="293" spans="1:17" x14ac:dyDescent="0.3">
      <c r="A293" t="s">
        <v>474</v>
      </c>
      <c r="B293" s="2">
        <v>46190</v>
      </c>
      <c r="C293" t="s">
        <v>176</v>
      </c>
      <c r="D293" t="s">
        <v>72</v>
      </c>
      <c r="E293" t="s">
        <v>29</v>
      </c>
      <c r="F293" t="s">
        <v>37</v>
      </c>
      <c r="G293" t="s">
        <v>31</v>
      </c>
      <c r="H293" t="s">
        <v>69</v>
      </c>
      <c r="I293">
        <v>2</v>
      </c>
      <c r="J293">
        <v>6242.84</v>
      </c>
      <c r="K293">
        <v>0</v>
      </c>
      <c r="L293">
        <v>12485.68</v>
      </c>
      <c r="M293">
        <v>10042.58</v>
      </c>
      <c r="N293">
        <v>2443.1</v>
      </c>
      <c r="O293">
        <f t="shared" si="12"/>
        <v>12485.68</v>
      </c>
      <c r="P293">
        <f t="shared" si="13"/>
        <v>0</v>
      </c>
      <c r="Q293">
        <f t="shared" si="14"/>
        <v>19.567216202882022</v>
      </c>
    </row>
    <row r="294" spans="1:17" x14ac:dyDescent="0.3">
      <c r="A294" t="s">
        <v>475</v>
      </c>
      <c r="B294" s="2">
        <v>46064</v>
      </c>
      <c r="C294" t="s">
        <v>93</v>
      </c>
      <c r="D294" t="s">
        <v>16</v>
      </c>
      <c r="E294" t="s">
        <v>17</v>
      </c>
      <c r="F294" t="s">
        <v>49</v>
      </c>
      <c r="G294" t="s">
        <v>46</v>
      </c>
      <c r="H294" t="s">
        <v>20</v>
      </c>
      <c r="I294">
        <v>4</v>
      </c>
      <c r="J294">
        <v>14953.26</v>
      </c>
      <c r="K294">
        <v>0.05</v>
      </c>
      <c r="L294">
        <v>56822.39</v>
      </c>
      <c r="M294">
        <v>50812.61</v>
      </c>
      <c r="N294">
        <v>6009.78</v>
      </c>
      <c r="O294">
        <f t="shared" si="12"/>
        <v>59813.04</v>
      </c>
      <c r="P294">
        <f t="shared" si="13"/>
        <v>2990.652</v>
      </c>
      <c r="Q294">
        <f t="shared" si="14"/>
        <v>10.576429467327932</v>
      </c>
    </row>
    <row r="295" spans="1:17" x14ac:dyDescent="0.3">
      <c r="A295" t="s">
        <v>476</v>
      </c>
      <c r="B295" s="2">
        <v>46289</v>
      </c>
      <c r="C295" t="s">
        <v>477</v>
      </c>
      <c r="D295" t="s">
        <v>23</v>
      </c>
      <c r="E295" t="s">
        <v>24</v>
      </c>
      <c r="F295" t="s">
        <v>37</v>
      </c>
      <c r="G295" t="s">
        <v>31</v>
      </c>
      <c r="H295" t="s">
        <v>103</v>
      </c>
      <c r="I295">
        <v>4</v>
      </c>
      <c r="J295">
        <v>2299.31</v>
      </c>
      <c r="K295">
        <v>0.1</v>
      </c>
      <c r="L295">
        <v>8277.52</v>
      </c>
      <c r="M295">
        <v>6544.94</v>
      </c>
      <c r="N295">
        <v>1732.58</v>
      </c>
      <c r="O295">
        <f t="shared" si="12"/>
        <v>9197.24</v>
      </c>
      <c r="P295">
        <f t="shared" si="13"/>
        <v>919.72400000000005</v>
      </c>
      <c r="Q295">
        <f t="shared" si="14"/>
        <v>20.931148459925193</v>
      </c>
    </row>
    <row r="296" spans="1:17" x14ac:dyDescent="0.3">
      <c r="A296" t="s">
        <v>478</v>
      </c>
      <c r="B296" s="2">
        <v>46077</v>
      </c>
      <c r="C296" t="s">
        <v>97</v>
      </c>
      <c r="D296" t="s">
        <v>62</v>
      </c>
      <c r="E296" t="s">
        <v>24</v>
      </c>
      <c r="F296" t="s">
        <v>18</v>
      </c>
      <c r="G296" t="s">
        <v>19</v>
      </c>
      <c r="H296" t="s">
        <v>103</v>
      </c>
      <c r="I296">
        <v>4</v>
      </c>
      <c r="J296">
        <v>17924</v>
      </c>
      <c r="K296">
        <v>0.05</v>
      </c>
      <c r="L296">
        <v>68111.199999999997</v>
      </c>
      <c r="M296">
        <v>50729.81</v>
      </c>
      <c r="N296">
        <v>17381.39</v>
      </c>
      <c r="O296">
        <f t="shared" si="12"/>
        <v>71696</v>
      </c>
      <c r="P296">
        <f t="shared" si="13"/>
        <v>3584.8</v>
      </c>
      <c r="Q296">
        <f t="shared" si="14"/>
        <v>25.51913635349252</v>
      </c>
    </row>
    <row r="297" spans="1:17" x14ac:dyDescent="0.3">
      <c r="A297" t="s">
        <v>479</v>
      </c>
      <c r="B297" s="2">
        <v>46281</v>
      </c>
      <c r="C297" t="s">
        <v>341</v>
      </c>
      <c r="D297" t="s">
        <v>102</v>
      </c>
      <c r="E297" t="s">
        <v>29</v>
      </c>
      <c r="F297" t="s">
        <v>45</v>
      </c>
      <c r="G297" t="s">
        <v>46</v>
      </c>
      <c r="H297" t="s">
        <v>20</v>
      </c>
      <c r="I297">
        <v>6</v>
      </c>
      <c r="J297">
        <v>23442.71</v>
      </c>
      <c r="K297">
        <v>0</v>
      </c>
      <c r="L297">
        <v>140656.26</v>
      </c>
      <c r="M297">
        <v>129659.56</v>
      </c>
      <c r="N297">
        <v>10996.7</v>
      </c>
      <c r="O297">
        <f t="shared" si="12"/>
        <v>140656.26</v>
      </c>
      <c r="P297">
        <f t="shared" si="13"/>
        <v>0</v>
      </c>
      <c r="Q297">
        <f t="shared" si="14"/>
        <v>7.8181376356800616</v>
      </c>
    </row>
    <row r="298" spans="1:17" x14ac:dyDescent="0.3">
      <c r="A298" t="s">
        <v>480</v>
      </c>
      <c r="B298" s="2">
        <v>46198</v>
      </c>
      <c r="C298" t="s">
        <v>245</v>
      </c>
      <c r="D298" t="s">
        <v>102</v>
      </c>
      <c r="E298" t="s">
        <v>29</v>
      </c>
      <c r="F298" t="s">
        <v>30</v>
      </c>
      <c r="G298" t="s">
        <v>31</v>
      </c>
      <c r="H298" t="s">
        <v>38</v>
      </c>
      <c r="I298">
        <v>6</v>
      </c>
      <c r="J298">
        <v>2649.36</v>
      </c>
      <c r="K298">
        <v>0.15</v>
      </c>
      <c r="L298">
        <v>13511.74</v>
      </c>
      <c r="M298">
        <v>9979.86</v>
      </c>
      <c r="N298">
        <v>3531.88</v>
      </c>
      <c r="O298">
        <f t="shared" si="12"/>
        <v>15896.16</v>
      </c>
      <c r="P298">
        <f t="shared" si="13"/>
        <v>2384.424</v>
      </c>
      <c r="Q298">
        <f t="shared" si="14"/>
        <v>26.139342527313286</v>
      </c>
    </row>
    <row r="299" spans="1:17" x14ac:dyDescent="0.3">
      <c r="A299" t="s">
        <v>481</v>
      </c>
      <c r="B299" s="2">
        <v>46038</v>
      </c>
      <c r="C299" t="s">
        <v>482</v>
      </c>
      <c r="D299" t="s">
        <v>89</v>
      </c>
      <c r="E299" t="s">
        <v>90</v>
      </c>
      <c r="F299" t="s">
        <v>57</v>
      </c>
      <c r="G299" t="s">
        <v>19</v>
      </c>
      <c r="H299" t="s">
        <v>25</v>
      </c>
      <c r="I299">
        <v>6</v>
      </c>
      <c r="J299">
        <v>7081.38</v>
      </c>
      <c r="K299">
        <v>0.05</v>
      </c>
      <c r="L299">
        <v>40363.870000000003</v>
      </c>
      <c r="M299">
        <v>32294.54</v>
      </c>
      <c r="N299">
        <v>8069.33</v>
      </c>
      <c r="O299">
        <f t="shared" si="12"/>
        <v>42488.28</v>
      </c>
      <c r="P299">
        <f t="shared" si="13"/>
        <v>2124.4140000000002</v>
      </c>
      <c r="Q299">
        <f t="shared" si="14"/>
        <v>19.991467616955457</v>
      </c>
    </row>
    <row r="300" spans="1:17" x14ac:dyDescent="0.3">
      <c r="A300" t="s">
        <v>483</v>
      </c>
      <c r="B300" s="2">
        <v>46245</v>
      </c>
      <c r="C300" t="s">
        <v>250</v>
      </c>
      <c r="D300" t="s">
        <v>102</v>
      </c>
      <c r="E300" t="s">
        <v>29</v>
      </c>
      <c r="F300" t="s">
        <v>57</v>
      </c>
      <c r="G300" t="s">
        <v>19</v>
      </c>
      <c r="H300" t="s">
        <v>38</v>
      </c>
      <c r="I300">
        <v>5</v>
      </c>
      <c r="J300">
        <v>7207.05</v>
      </c>
      <c r="K300">
        <v>0.05</v>
      </c>
      <c r="L300">
        <v>34233.49</v>
      </c>
      <c r="M300">
        <v>25904.89</v>
      </c>
      <c r="N300">
        <v>8328.6</v>
      </c>
      <c r="O300">
        <f t="shared" si="12"/>
        <v>36035.25</v>
      </c>
      <c r="P300">
        <f t="shared" si="13"/>
        <v>1801.7625</v>
      </c>
      <c r="Q300">
        <f t="shared" si="14"/>
        <v>24.328807842846292</v>
      </c>
    </row>
    <row r="301" spans="1:17" x14ac:dyDescent="0.3">
      <c r="A301" t="s">
        <v>484</v>
      </c>
      <c r="B301" s="2">
        <v>46176</v>
      </c>
      <c r="C301" t="s">
        <v>48</v>
      </c>
      <c r="D301" t="s">
        <v>145</v>
      </c>
      <c r="E301" t="s">
        <v>36</v>
      </c>
      <c r="F301" t="s">
        <v>30</v>
      </c>
      <c r="G301" t="s">
        <v>31</v>
      </c>
      <c r="H301" t="s">
        <v>32</v>
      </c>
      <c r="I301">
        <v>4</v>
      </c>
      <c r="J301">
        <v>4888.5200000000004</v>
      </c>
      <c r="K301">
        <v>0.1</v>
      </c>
      <c r="L301">
        <v>17598.669999999998</v>
      </c>
      <c r="M301">
        <v>13084.99</v>
      </c>
      <c r="N301">
        <v>4513.68</v>
      </c>
      <c r="O301">
        <f t="shared" si="12"/>
        <v>19554.080000000002</v>
      </c>
      <c r="P301">
        <f t="shared" si="13"/>
        <v>1955.4080000000004</v>
      </c>
      <c r="Q301">
        <f t="shared" si="14"/>
        <v>25.647847252093488</v>
      </c>
    </row>
    <row r="302" spans="1:17" x14ac:dyDescent="0.3">
      <c r="A302" t="s">
        <v>485</v>
      </c>
      <c r="B302" s="2">
        <v>46082</v>
      </c>
      <c r="C302" t="s">
        <v>68</v>
      </c>
      <c r="D302" t="s">
        <v>28</v>
      </c>
      <c r="E302" t="s">
        <v>29</v>
      </c>
      <c r="F302" t="s">
        <v>41</v>
      </c>
      <c r="G302" t="s">
        <v>42</v>
      </c>
      <c r="H302" t="s">
        <v>38</v>
      </c>
      <c r="I302">
        <v>7</v>
      </c>
      <c r="J302">
        <v>17308.03</v>
      </c>
      <c r="K302">
        <v>0.05</v>
      </c>
      <c r="L302">
        <v>115098.4</v>
      </c>
      <c r="M302">
        <v>99250.81</v>
      </c>
      <c r="N302">
        <v>15847.59</v>
      </c>
      <c r="O302">
        <f t="shared" si="12"/>
        <v>121156.20999999999</v>
      </c>
      <c r="P302">
        <f t="shared" si="13"/>
        <v>6057.8104999999996</v>
      </c>
      <c r="Q302">
        <f t="shared" si="14"/>
        <v>13.76873179818312</v>
      </c>
    </row>
    <row r="303" spans="1:17" x14ac:dyDescent="0.3">
      <c r="A303" t="s">
        <v>486</v>
      </c>
      <c r="B303" s="2">
        <v>46178</v>
      </c>
      <c r="C303" t="s">
        <v>34</v>
      </c>
      <c r="D303" t="s">
        <v>23</v>
      </c>
      <c r="E303" t="s">
        <v>24</v>
      </c>
      <c r="F303" t="s">
        <v>37</v>
      </c>
      <c r="G303" t="s">
        <v>31</v>
      </c>
      <c r="H303" t="s">
        <v>54</v>
      </c>
      <c r="I303">
        <v>5</v>
      </c>
      <c r="J303">
        <v>2355.42</v>
      </c>
      <c r="K303">
        <v>0</v>
      </c>
      <c r="L303">
        <v>11777.1</v>
      </c>
      <c r="M303">
        <v>8848.7999999999993</v>
      </c>
      <c r="N303">
        <v>2928.3</v>
      </c>
      <c r="O303">
        <f t="shared" si="12"/>
        <v>11777.1</v>
      </c>
      <c r="P303">
        <f t="shared" si="13"/>
        <v>0</v>
      </c>
      <c r="Q303">
        <f t="shared" si="14"/>
        <v>24.864355401584433</v>
      </c>
    </row>
    <row r="304" spans="1:17" x14ac:dyDescent="0.3">
      <c r="A304" t="s">
        <v>487</v>
      </c>
      <c r="B304" s="2">
        <v>46097</v>
      </c>
      <c r="C304" t="s">
        <v>218</v>
      </c>
      <c r="D304" t="s">
        <v>62</v>
      </c>
      <c r="E304" t="s">
        <v>24</v>
      </c>
      <c r="F304" t="s">
        <v>57</v>
      </c>
      <c r="G304" t="s">
        <v>19</v>
      </c>
      <c r="H304" t="s">
        <v>54</v>
      </c>
      <c r="I304">
        <v>6</v>
      </c>
      <c r="J304">
        <v>15555.79</v>
      </c>
      <c r="K304">
        <v>0.05</v>
      </c>
      <c r="L304">
        <v>88668</v>
      </c>
      <c r="M304">
        <v>64129.71</v>
      </c>
      <c r="N304">
        <v>24538.29</v>
      </c>
      <c r="O304">
        <f t="shared" si="12"/>
        <v>93334.74</v>
      </c>
      <c r="P304">
        <f t="shared" si="13"/>
        <v>4666.7370000000001</v>
      </c>
      <c r="Q304">
        <f t="shared" si="14"/>
        <v>27.674347002300721</v>
      </c>
    </row>
    <row r="305" spans="1:17" x14ac:dyDescent="0.3">
      <c r="A305" t="s">
        <v>488</v>
      </c>
      <c r="B305" s="2">
        <v>46234</v>
      </c>
      <c r="C305" t="s">
        <v>101</v>
      </c>
      <c r="D305" t="s">
        <v>108</v>
      </c>
      <c r="E305" t="s">
        <v>36</v>
      </c>
      <c r="F305" t="s">
        <v>45</v>
      </c>
      <c r="G305" t="s">
        <v>46</v>
      </c>
      <c r="H305" t="s">
        <v>38</v>
      </c>
      <c r="I305">
        <v>4</v>
      </c>
      <c r="J305">
        <v>31255.200000000001</v>
      </c>
      <c r="K305">
        <v>0.05</v>
      </c>
      <c r="L305">
        <v>118769.76</v>
      </c>
      <c r="M305">
        <v>109857.05</v>
      </c>
      <c r="N305">
        <v>8912.7099999999991</v>
      </c>
      <c r="O305">
        <f t="shared" si="12"/>
        <v>125020.8</v>
      </c>
      <c r="P305">
        <f t="shared" si="13"/>
        <v>6251.0400000000009</v>
      </c>
      <c r="Q305">
        <f t="shared" si="14"/>
        <v>7.5041913025672518</v>
      </c>
    </row>
    <row r="306" spans="1:17" x14ac:dyDescent="0.3">
      <c r="A306" t="s">
        <v>489</v>
      </c>
      <c r="B306" s="2">
        <v>46023</v>
      </c>
      <c r="C306" t="s">
        <v>142</v>
      </c>
      <c r="D306" t="s">
        <v>23</v>
      </c>
      <c r="E306" t="s">
        <v>24</v>
      </c>
      <c r="F306" t="s">
        <v>57</v>
      </c>
      <c r="G306" t="s">
        <v>19</v>
      </c>
      <c r="H306" t="s">
        <v>50</v>
      </c>
      <c r="I306">
        <v>7</v>
      </c>
      <c r="J306">
        <v>9747.69</v>
      </c>
      <c r="K306">
        <v>0</v>
      </c>
      <c r="L306">
        <v>68233.83</v>
      </c>
      <c r="M306">
        <v>48857.72</v>
      </c>
      <c r="N306">
        <v>19376.11</v>
      </c>
      <c r="O306">
        <f t="shared" si="12"/>
        <v>68233.83</v>
      </c>
      <c r="P306">
        <f t="shared" si="13"/>
        <v>0</v>
      </c>
      <c r="Q306">
        <f t="shared" si="14"/>
        <v>28.396632579469745</v>
      </c>
    </row>
    <row r="307" spans="1:17" x14ac:dyDescent="0.3">
      <c r="A307" t="s">
        <v>490</v>
      </c>
      <c r="B307" s="2">
        <v>46165</v>
      </c>
      <c r="C307" t="s">
        <v>182</v>
      </c>
      <c r="D307" t="s">
        <v>35</v>
      </c>
      <c r="E307" t="s">
        <v>36</v>
      </c>
      <c r="F307" t="s">
        <v>30</v>
      </c>
      <c r="G307" t="s">
        <v>31</v>
      </c>
      <c r="H307" t="s">
        <v>54</v>
      </c>
      <c r="I307">
        <v>5</v>
      </c>
      <c r="J307">
        <v>939.4</v>
      </c>
      <c r="K307">
        <v>0</v>
      </c>
      <c r="L307">
        <v>4697</v>
      </c>
      <c r="M307">
        <v>3528.85</v>
      </c>
      <c r="N307">
        <v>1168.1500000000001</v>
      </c>
      <c r="O307">
        <f t="shared" si="12"/>
        <v>4697</v>
      </c>
      <c r="P307">
        <f t="shared" si="13"/>
        <v>0</v>
      </c>
      <c r="Q307">
        <f t="shared" si="14"/>
        <v>24.870129870129873</v>
      </c>
    </row>
    <row r="308" spans="1:17" x14ac:dyDescent="0.3">
      <c r="A308" t="s">
        <v>491</v>
      </c>
      <c r="B308" s="2">
        <v>46274</v>
      </c>
      <c r="C308" t="s">
        <v>492</v>
      </c>
      <c r="D308" t="s">
        <v>108</v>
      </c>
      <c r="E308" t="s">
        <v>36</v>
      </c>
      <c r="F308" t="s">
        <v>45</v>
      </c>
      <c r="G308" t="s">
        <v>46</v>
      </c>
      <c r="H308" t="s">
        <v>25</v>
      </c>
      <c r="I308">
        <v>6</v>
      </c>
      <c r="J308">
        <v>47538.43</v>
      </c>
      <c r="K308">
        <v>0.05</v>
      </c>
      <c r="L308">
        <v>270969.05</v>
      </c>
      <c r="M308">
        <v>241043.32</v>
      </c>
      <c r="N308">
        <v>29925.73</v>
      </c>
      <c r="O308">
        <f t="shared" si="12"/>
        <v>285230.58</v>
      </c>
      <c r="P308">
        <f t="shared" si="13"/>
        <v>14261.529000000002</v>
      </c>
      <c r="Q308">
        <f t="shared" si="14"/>
        <v>11.043966091330356</v>
      </c>
    </row>
    <row r="309" spans="1:17" x14ac:dyDescent="0.3">
      <c r="A309" t="s">
        <v>493</v>
      </c>
      <c r="B309" s="2">
        <v>46068</v>
      </c>
      <c r="C309" t="s">
        <v>494</v>
      </c>
      <c r="D309" t="s">
        <v>113</v>
      </c>
      <c r="E309" t="s">
        <v>17</v>
      </c>
      <c r="F309" t="s">
        <v>79</v>
      </c>
      <c r="G309" t="s">
        <v>31</v>
      </c>
      <c r="H309" t="s">
        <v>32</v>
      </c>
      <c r="I309">
        <v>6</v>
      </c>
      <c r="J309">
        <v>5321.41</v>
      </c>
      <c r="K309">
        <v>0</v>
      </c>
      <c r="L309">
        <v>31928.46</v>
      </c>
      <c r="M309">
        <v>24042.639999999999</v>
      </c>
      <c r="N309">
        <v>7885.82</v>
      </c>
      <c r="O309">
        <f t="shared" si="12"/>
        <v>31928.46</v>
      </c>
      <c r="P309">
        <f t="shared" si="13"/>
        <v>0</v>
      </c>
      <c r="Q309">
        <f t="shared" si="14"/>
        <v>24.698403869149967</v>
      </c>
    </row>
    <row r="310" spans="1:17" x14ac:dyDescent="0.3">
      <c r="A310" t="s">
        <v>495</v>
      </c>
      <c r="B310" s="2">
        <v>46106</v>
      </c>
      <c r="C310" t="s">
        <v>169</v>
      </c>
      <c r="D310" t="s">
        <v>89</v>
      </c>
      <c r="E310" t="s">
        <v>90</v>
      </c>
      <c r="F310" t="s">
        <v>41</v>
      </c>
      <c r="G310" t="s">
        <v>42</v>
      </c>
      <c r="H310" t="s">
        <v>50</v>
      </c>
      <c r="I310">
        <v>6</v>
      </c>
      <c r="J310">
        <v>16114.66</v>
      </c>
      <c r="K310">
        <v>0.1</v>
      </c>
      <c r="L310">
        <v>87019.16</v>
      </c>
      <c r="M310">
        <v>75393.009999999995</v>
      </c>
      <c r="N310">
        <v>11626.15</v>
      </c>
      <c r="O310">
        <f t="shared" si="12"/>
        <v>96687.959999999992</v>
      </c>
      <c r="P310">
        <f t="shared" si="13"/>
        <v>9668.7960000000003</v>
      </c>
      <c r="Q310">
        <f t="shared" si="14"/>
        <v>13.360448434574637</v>
      </c>
    </row>
    <row r="311" spans="1:17" x14ac:dyDescent="0.3">
      <c r="A311" t="s">
        <v>496</v>
      </c>
      <c r="B311" s="2">
        <v>46223</v>
      </c>
      <c r="C311" t="s">
        <v>497</v>
      </c>
      <c r="D311" t="s">
        <v>28</v>
      </c>
      <c r="E311" t="s">
        <v>29</v>
      </c>
      <c r="F311" t="s">
        <v>79</v>
      </c>
      <c r="G311" t="s">
        <v>31</v>
      </c>
      <c r="H311" t="s">
        <v>69</v>
      </c>
      <c r="I311">
        <v>6</v>
      </c>
      <c r="J311">
        <v>11803.43</v>
      </c>
      <c r="K311">
        <v>0.05</v>
      </c>
      <c r="L311">
        <v>67279.55</v>
      </c>
      <c r="M311">
        <v>56540.55</v>
      </c>
      <c r="N311">
        <v>10739</v>
      </c>
      <c r="O311">
        <f t="shared" si="12"/>
        <v>70820.58</v>
      </c>
      <c r="P311">
        <f t="shared" si="13"/>
        <v>3541.0290000000005</v>
      </c>
      <c r="Q311">
        <f t="shared" si="14"/>
        <v>15.96175955398037</v>
      </c>
    </row>
    <row r="312" spans="1:17" x14ac:dyDescent="0.3">
      <c r="A312" t="s">
        <v>498</v>
      </c>
      <c r="B312" s="2">
        <v>46142</v>
      </c>
      <c r="C312" t="s">
        <v>155</v>
      </c>
      <c r="D312" t="s">
        <v>113</v>
      </c>
      <c r="E312" t="s">
        <v>17</v>
      </c>
      <c r="F312" t="s">
        <v>30</v>
      </c>
      <c r="G312" t="s">
        <v>31</v>
      </c>
      <c r="H312" t="s">
        <v>38</v>
      </c>
      <c r="I312">
        <v>1</v>
      </c>
      <c r="J312">
        <v>3070.93</v>
      </c>
      <c r="K312">
        <v>0</v>
      </c>
      <c r="L312">
        <v>3070.93</v>
      </c>
      <c r="M312">
        <v>2605.34</v>
      </c>
      <c r="N312">
        <v>465.59</v>
      </c>
      <c r="O312">
        <f t="shared" si="12"/>
        <v>3070.93</v>
      </c>
      <c r="P312">
        <f t="shared" si="13"/>
        <v>0</v>
      </c>
      <c r="Q312">
        <f t="shared" si="14"/>
        <v>15.161205237501344</v>
      </c>
    </row>
    <row r="313" spans="1:17" x14ac:dyDescent="0.3">
      <c r="A313" t="s">
        <v>499</v>
      </c>
      <c r="B313" s="2">
        <v>46111</v>
      </c>
      <c r="C313" t="s">
        <v>88</v>
      </c>
      <c r="D313" t="s">
        <v>145</v>
      </c>
      <c r="E313" t="s">
        <v>36</v>
      </c>
      <c r="F313" t="s">
        <v>30</v>
      </c>
      <c r="G313" t="s">
        <v>31</v>
      </c>
      <c r="H313" t="s">
        <v>38</v>
      </c>
      <c r="I313">
        <v>3</v>
      </c>
      <c r="J313">
        <v>2048.4</v>
      </c>
      <c r="K313">
        <v>0.05</v>
      </c>
      <c r="L313">
        <v>5837.94</v>
      </c>
      <c r="M313">
        <v>4507.79</v>
      </c>
      <c r="N313">
        <v>1330.15</v>
      </c>
      <c r="O313">
        <f t="shared" si="12"/>
        <v>6145.2000000000007</v>
      </c>
      <c r="P313">
        <f t="shared" si="13"/>
        <v>307.26000000000005</v>
      </c>
      <c r="Q313">
        <f t="shared" si="14"/>
        <v>22.784578121734725</v>
      </c>
    </row>
    <row r="314" spans="1:17" x14ac:dyDescent="0.3">
      <c r="A314" t="s">
        <v>500</v>
      </c>
      <c r="B314" s="2">
        <v>46286</v>
      </c>
      <c r="C314" t="s">
        <v>294</v>
      </c>
      <c r="D314" t="s">
        <v>123</v>
      </c>
      <c r="E314" t="s">
        <v>90</v>
      </c>
      <c r="F314" t="s">
        <v>41</v>
      </c>
      <c r="G314" t="s">
        <v>42</v>
      </c>
      <c r="H314" t="s">
        <v>20</v>
      </c>
      <c r="I314">
        <v>6</v>
      </c>
      <c r="J314">
        <v>13929.79</v>
      </c>
      <c r="K314">
        <v>0.1</v>
      </c>
      <c r="L314">
        <v>75220.87</v>
      </c>
      <c r="M314">
        <v>66025.899999999994</v>
      </c>
      <c r="N314">
        <v>9194.9699999999993</v>
      </c>
      <c r="O314">
        <f t="shared" si="12"/>
        <v>83578.740000000005</v>
      </c>
      <c r="P314">
        <f t="shared" si="13"/>
        <v>8357.8740000000016</v>
      </c>
      <c r="Q314">
        <f t="shared" si="14"/>
        <v>12.223961249052291</v>
      </c>
    </row>
    <row r="315" spans="1:17" x14ac:dyDescent="0.3">
      <c r="A315" t="s">
        <v>501</v>
      </c>
      <c r="B315" s="2">
        <v>46084</v>
      </c>
      <c r="C315" t="s">
        <v>392</v>
      </c>
      <c r="D315" t="s">
        <v>89</v>
      </c>
      <c r="E315" t="s">
        <v>90</v>
      </c>
      <c r="F315" t="s">
        <v>49</v>
      </c>
      <c r="G315" t="s">
        <v>46</v>
      </c>
      <c r="H315" t="s">
        <v>103</v>
      </c>
      <c r="I315">
        <v>6</v>
      </c>
      <c r="J315">
        <v>19497.75</v>
      </c>
      <c r="K315">
        <v>0.1</v>
      </c>
      <c r="L315">
        <v>105287.85</v>
      </c>
      <c r="M315">
        <v>92976.53</v>
      </c>
      <c r="N315">
        <v>12311.32</v>
      </c>
      <c r="O315">
        <f t="shared" si="12"/>
        <v>116986.5</v>
      </c>
      <c r="P315">
        <f t="shared" si="13"/>
        <v>11698.650000000001</v>
      </c>
      <c r="Q315">
        <f t="shared" si="14"/>
        <v>11.693011111918421</v>
      </c>
    </row>
    <row r="316" spans="1:17" x14ac:dyDescent="0.3">
      <c r="A316" t="s">
        <v>502</v>
      </c>
      <c r="B316" s="2">
        <v>46194</v>
      </c>
      <c r="C316" t="s">
        <v>299</v>
      </c>
      <c r="D316" t="s">
        <v>89</v>
      </c>
      <c r="E316" t="s">
        <v>90</v>
      </c>
      <c r="F316" t="s">
        <v>30</v>
      </c>
      <c r="G316" t="s">
        <v>31</v>
      </c>
      <c r="H316" t="s">
        <v>103</v>
      </c>
      <c r="I316">
        <v>5</v>
      </c>
      <c r="J316">
        <v>1194.2</v>
      </c>
      <c r="K316">
        <v>0</v>
      </c>
      <c r="L316">
        <v>5971</v>
      </c>
      <c r="M316">
        <v>4401.1499999999996</v>
      </c>
      <c r="N316">
        <v>1569.85</v>
      </c>
      <c r="O316">
        <f t="shared" si="12"/>
        <v>5971</v>
      </c>
      <c r="P316">
        <f t="shared" si="13"/>
        <v>0</v>
      </c>
      <c r="Q316">
        <f t="shared" si="14"/>
        <v>26.291240998157761</v>
      </c>
    </row>
    <row r="317" spans="1:17" x14ac:dyDescent="0.3">
      <c r="A317" t="s">
        <v>503</v>
      </c>
      <c r="B317" s="2">
        <v>46098</v>
      </c>
      <c r="C317" t="s">
        <v>34</v>
      </c>
      <c r="D317" t="s">
        <v>145</v>
      </c>
      <c r="E317" t="s">
        <v>36</v>
      </c>
      <c r="F317" t="s">
        <v>41</v>
      </c>
      <c r="G317" t="s">
        <v>42</v>
      </c>
      <c r="H317" t="s">
        <v>50</v>
      </c>
      <c r="I317">
        <v>4</v>
      </c>
      <c r="J317">
        <v>14179.58</v>
      </c>
      <c r="K317">
        <v>0</v>
      </c>
      <c r="L317">
        <v>56718.32</v>
      </c>
      <c r="M317">
        <v>46914.52</v>
      </c>
      <c r="N317">
        <v>9803.7999999999993</v>
      </c>
      <c r="O317">
        <f t="shared" si="12"/>
        <v>56718.32</v>
      </c>
      <c r="P317">
        <f t="shared" si="13"/>
        <v>0</v>
      </c>
      <c r="Q317">
        <f t="shared" si="14"/>
        <v>17.285067681835429</v>
      </c>
    </row>
    <row r="318" spans="1:17" x14ac:dyDescent="0.3">
      <c r="A318" t="s">
        <v>504</v>
      </c>
      <c r="B318" s="2">
        <v>46179</v>
      </c>
      <c r="C318" t="s">
        <v>118</v>
      </c>
      <c r="D318" t="s">
        <v>106</v>
      </c>
      <c r="E318" t="s">
        <v>90</v>
      </c>
      <c r="F318" t="s">
        <v>79</v>
      </c>
      <c r="G318" t="s">
        <v>31</v>
      </c>
      <c r="H318" t="s">
        <v>50</v>
      </c>
      <c r="I318">
        <v>4</v>
      </c>
      <c r="J318">
        <v>8505.4</v>
      </c>
      <c r="K318">
        <v>0</v>
      </c>
      <c r="L318">
        <v>34021.599999999999</v>
      </c>
      <c r="M318">
        <v>28238.39</v>
      </c>
      <c r="N318">
        <v>5783.21</v>
      </c>
      <c r="O318">
        <f t="shared" si="12"/>
        <v>34021.599999999999</v>
      </c>
      <c r="P318">
        <f t="shared" si="13"/>
        <v>0</v>
      </c>
      <c r="Q318">
        <f t="shared" si="14"/>
        <v>16.998642039175113</v>
      </c>
    </row>
    <row r="319" spans="1:17" x14ac:dyDescent="0.3">
      <c r="A319" t="s">
        <v>505</v>
      </c>
      <c r="B319" s="2">
        <v>46216</v>
      </c>
      <c r="C319" t="s">
        <v>708</v>
      </c>
      <c r="D319" t="s">
        <v>23</v>
      </c>
      <c r="E319" t="s">
        <v>24</v>
      </c>
      <c r="F319" t="s">
        <v>45</v>
      </c>
      <c r="G319" t="s">
        <v>46</v>
      </c>
      <c r="H319" t="s">
        <v>50</v>
      </c>
      <c r="I319">
        <v>1</v>
      </c>
      <c r="J319">
        <v>38644.86</v>
      </c>
      <c r="K319">
        <v>0.05</v>
      </c>
      <c r="L319">
        <v>36712.620000000003</v>
      </c>
      <c r="M319">
        <v>32414.7</v>
      </c>
      <c r="N319">
        <v>4297.92</v>
      </c>
      <c r="O319">
        <f t="shared" si="12"/>
        <v>38644.86</v>
      </c>
      <c r="P319">
        <f t="shared" si="13"/>
        <v>1932.2430000000002</v>
      </c>
      <c r="Q319">
        <f t="shared" si="14"/>
        <v>11.706928026384388</v>
      </c>
    </row>
    <row r="320" spans="1:17" x14ac:dyDescent="0.3">
      <c r="A320" t="s">
        <v>506</v>
      </c>
      <c r="B320" s="2">
        <v>46175</v>
      </c>
      <c r="C320" t="s">
        <v>260</v>
      </c>
      <c r="D320" t="s">
        <v>123</v>
      </c>
      <c r="E320" t="s">
        <v>90</v>
      </c>
      <c r="F320" t="s">
        <v>86</v>
      </c>
      <c r="G320" t="s">
        <v>46</v>
      </c>
      <c r="H320" t="s">
        <v>25</v>
      </c>
      <c r="I320">
        <v>6</v>
      </c>
      <c r="J320">
        <v>46590.64</v>
      </c>
      <c r="K320">
        <v>0</v>
      </c>
      <c r="L320">
        <v>279543.84000000003</v>
      </c>
      <c r="M320">
        <v>253266.05</v>
      </c>
      <c r="N320">
        <v>26277.79</v>
      </c>
      <c r="O320">
        <f t="shared" si="12"/>
        <v>279543.83999999997</v>
      </c>
      <c r="P320">
        <f t="shared" si="13"/>
        <v>0</v>
      </c>
      <c r="Q320">
        <f t="shared" si="14"/>
        <v>9.4002393327644054</v>
      </c>
    </row>
    <row r="321" spans="1:17" x14ac:dyDescent="0.3">
      <c r="A321" t="s">
        <v>507</v>
      </c>
      <c r="B321" s="2">
        <v>46115</v>
      </c>
      <c r="C321" t="s">
        <v>386</v>
      </c>
      <c r="D321" t="s">
        <v>108</v>
      </c>
      <c r="E321" t="s">
        <v>36</v>
      </c>
      <c r="F321" t="s">
        <v>86</v>
      </c>
      <c r="G321" t="s">
        <v>46</v>
      </c>
      <c r="H321" t="s">
        <v>69</v>
      </c>
      <c r="I321">
        <v>6</v>
      </c>
      <c r="J321">
        <v>69900.789999999994</v>
      </c>
      <c r="K321">
        <v>0.05</v>
      </c>
      <c r="L321">
        <v>398434.5</v>
      </c>
      <c r="M321">
        <v>355376.35</v>
      </c>
      <c r="N321">
        <v>43058.15</v>
      </c>
      <c r="O321">
        <f t="shared" si="12"/>
        <v>419404.74</v>
      </c>
      <c r="P321">
        <f t="shared" si="13"/>
        <v>20970.237000000001</v>
      </c>
      <c r="Q321">
        <f t="shared" si="14"/>
        <v>10.806832741642603</v>
      </c>
    </row>
    <row r="322" spans="1:17" x14ac:dyDescent="0.3">
      <c r="A322" t="s">
        <v>508</v>
      </c>
      <c r="B322" s="2">
        <v>46163</v>
      </c>
      <c r="C322" t="s">
        <v>260</v>
      </c>
      <c r="D322" t="s">
        <v>108</v>
      </c>
      <c r="E322" t="s">
        <v>36</v>
      </c>
      <c r="F322" t="s">
        <v>53</v>
      </c>
      <c r="G322" t="s">
        <v>46</v>
      </c>
      <c r="H322" t="s">
        <v>69</v>
      </c>
      <c r="I322">
        <v>1</v>
      </c>
      <c r="J322">
        <v>31207.54</v>
      </c>
      <c r="K322">
        <v>0</v>
      </c>
      <c r="L322">
        <v>31207.54</v>
      </c>
      <c r="M322">
        <v>27972.19</v>
      </c>
      <c r="N322">
        <v>3235.35</v>
      </c>
      <c r="O322">
        <f t="shared" si="12"/>
        <v>31207.54</v>
      </c>
      <c r="P322">
        <f t="shared" si="13"/>
        <v>0</v>
      </c>
      <c r="Q322">
        <f t="shared" si="14"/>
        <v>10.367206130313379</v>
      </c>
    </row>
    <row r="323" spans="1:17" x14ac:dyDescent="0.3">
      <c r="A323" t="s">
        <v>509</v>
      </c>
      <c r="B323" s="2">
        <v>46112</v>
      </c>
      <c r="C323" t="s">
        <v>510</v>
      </c>
      <c r="D323" t="s">
        <v>126</v>
      </c>
      <c r="E323" t="s">
        <v>24</v>
      </c>
      <c r="F323" t="s">
        <v>30</v>
      </c>
      <c r="G323" t="s">
        <v>31</v>
      </c>
      <c r="H323" t="s">
        <v>103</v>
      </c>
      <c r="I323">
        <v>6</v>
      </c>
      <c r="J323">
        <v>2641.86</v>
      </c>
      <c r="K323">
        <v>0</v>
      </c>
      <c r="L323">
        <v>15851.16</v>
      </c>
      <c r="M323">
        <v>13382.02</v>
      </c>
      <c r="N323">
        <v>2469.14</v>
      </c>
      <c r="O323">
        <f t="shared" ref="O323:O386" si="15">I323*J323</f>
        <v>15851.16</v>
      </c>
      <c r="P323">
        <f t="shared" ref="P323:P386" si="16">O323*K323</f>
        <v>0</v>
      </c>
      <c r="Q323">
        <f t="shared" ref="Q323:Q386" si="17">N323/L323*100</f>
        <v>15.57703032459454</v>
      </c>
    </row>
    <row r="324" spans="1:17" x14ac:dyDescent="0.3">
      <c r="A324" t="s">
        <v>511</v>
      </c>
      <c r="B324" s="2">
        <v>46059</v>
      </c>
      <c r="C324" t="s">
        <v>64</v>
      </c>
      <c r="D324" t="s">
        <v>89</v>
      </c>
      <c r="E324" t="s">
        <v>90</v>
      </c>
      <c r="F324" t="s">
        <v>41</v>
      </c>
      <c r="G324" t="s">
        <v>42</v>
      </c>
      <c r="H324" t="s">
        <v>54</v>
      </c>
      <c r="I324">
        <v>5</v>
      </c>
      <c r="J324">
        <v>25636.959999999999</v>
      </c>
      <c r="K324">
        <v>0</v>
      </c>
      <c r="L324">
        <v>128184.8</v>
      </c>
      <c r="M324">
        <v>107561.22</v>
      </c>
      <c r="N324">
        <v>20623.580000000002</v>
      </c>
      <c r="O324">
        <f t="shared" si="15"/>
        <v>128184.79999999999</v>
      </c>
      <c r="P324">
        <f t="shared" si="16"/>
        <v>0</v>
      </c>
      <c r="Q324">
        <f t="shared" si="17"/>
        <v>16.088943462875474</v>
      </c>
    </row>
    <row r="325" spans="1:17" x14ac:dyDescent="0.3">
      <c r="A325" t="s">
        <v>512</v>
      </c>
      <c r="B325" s="2">
        <v>46214</v>
      </c>
      <c r="C325" t="s">
        <v>252</v>
      </c>
      <c r="D325" t="s">
        <v>102</v>
      </c>
      <c r="E325" t="s">
        <v>29</v>
      </c>
      <c r="F325" t="s">
        <v>49</v>
      </c>
      <c r="G325" t="s">
        <v>46</v>
      </c>
      <c r="H325" t="s">
        <v>32</v>
      </c>
      <c r="I325">
        <v>7</v>
      </c>
      <c r="J325">
        <v>24616.720000000001</v>
      </c>
      <c r="K325">
        <v>0</v>
      </c>
      <c r="L325">
        <v>172317.04</v>
      </c>
      <c r="M325">
        <v>154135.54999999999</v>
      </c>
      <c r="N325">
        <v>18181.490000000002</v>
      </c>
      <c r="O325">
        <f t="shared" si="15"/>
        <v>172317.04</v>
      </c>
      <c r="P325">
        <f t="shared" si="16"/>
        <v>0</v>
      </c>
      <c r="Q325">
        <f t="shared" si="17"/>
        <v>10.551185187489294</v>
      </c>
    </row>
    <row r="326" spans="1:17" x14ac:dyDescent="0.3">
      <c r="A326" t="s">
        <v>513</v>
      </c>
      <c r="B326" s="2">
        <v>46094</v>
      </c>
      <c r="C326" t="s">
        <v>338</v>
      </c>
      <c r="D326" t="s">
        <v>23</v>
      </c>
      <c r="E326" t="s">
        <v>24</v>
      </c>
      <c r="F326" t="s">
        <v>30</v>
      </c>
      <c r="G326" t="s">
        <v>31</v>
      </c>
      <c r="H326" t="s">
        <v>38</v>
      </c>
      <c r="I326">
        <v>5</v>
      </c>
      <c r="J326">
        <v>1884.33</v>
      </c>
      <c r="K326">
        <v>0</v>
      </c>
      <c r="L326">
        <v>9421.65</v>
      </c>
      <c r="M326">
        <v>6999.41</v>
      </c>
      <c r="N326">
        <v>2422.2399999999998</v>
      </c>
      <c r="O326">
        <f t="shared" si="15"/>
        <v>9421.65</v>
      </c>
      <c r="P326">
        <f t="shared" si="16"/>
        <v>0</v>
      </c>
      <c r="Q326">
        <f t="shared" si="17"/>
        <v>25.70929720378065</v>
      </c>
    </row>
    <row r="327" spans="1:17" x14ac:dyDescent="0.3">
      <c r="A327" t="s">
        <v>514</v>
      </c>
      <c r="B327" s="2">
        <v>46272</v>
      </c>
      <c r="C327" t="s">
        <v>460</v>
      </c>
      <c r="D327" t="s">
        <v>85</v>
      </c>
      <c r="E327" t="s">
        <v>17</v>
      </c>
      <c r="F327" t="s">
        <v>18</v>
      </c>
      <c r="G327" t="s">
        <v>19</v>
      </c>
      <c r="H327" t="s">
        <v>25</v>
      </c>
      <c r="I327">
        <v>6</v>
      </c>
      <c r="J327">
        <v>25120.49</v>
      </c>
      <c r="K327">
        <v>0</v>
      </c>
      <c r="L327">
        <v>150722.94</v>
      </c>
      <c r="M327">
        <v>121947.99</v>
      </c>
      <c r="N327">
        <v>28774.95</v>
      </c>
      <c r="O327">
        <f t="shared" si="15"/>
        <v>150722.94</v>
      </c>
      <c r="P327">
        <f t="shared" si="16"/>
        <v>0</v>
      </c>
      <c r="Q327">
        <f t="shared" si="17"/>
        <v>19.091287630137789</v>
      </c>
    </row>
    <row r="328" spans="1:17" x14ac:dyDescent="0.3">
      <c r="A328" t="s">
        <v>515</v>
      </c>
      <c r="B328" s="2">
        <v>46168</v>
      </c>
      <c r="C328" t="s">
        <v>460</v>
      </c>
      <c r="D328" t="s">
        <v>123</v>
      </c>
      <c r="E328" t="s">
        <v>90</v>
      </c>
      <c r="F328" t="s">
        <v>79</v>
      </c>
      <c r="G328" t="s">
        <v>31</v>
      </c>
      <c r="H328" t="s">
        <v>69</v>
      </c>
      <c r="I328">
        <v>7</v>
      </c>
      <c r="J328">
        <v>5345.46</v>
      </c>
      <c r="K328">
        <v>0.05</v>
      </c>
      <c r="L328">
        <v>35547.31</v>
      </c>
      <c r="M328">
        <v>30855.17</v>
      </c>
      <c r="N328">
        <v>4692.1400000000003</v>
      </c>
      <c r="O328">
        <f t="shared" si="15"/>
        <v>37418.22</v>
      </c>
      <c r="P328">
        <f t="shared" si="16"/>
        <v>1870.9110000000001</v>
      </c>
      <c r="Q328">
        <f t="shared" si="17"/>
        <v>13.199704844051494</v>
      </c>
    </row>
    <row r="329" spans="1:17" x14ac:dyDescent="0.3">
      <c r="A329" t="s">
        <v>516</v>
      </c>
      <c r="B329" s="2">
        <v>46247</v>
      </c>
      <c r="C329" t="s">
        <v>361</v>
      </c>
      <c r="D329" t="s">
        <v>28</v>
      </c>
      <c r="E329" t="s">
        <v>29</v>
      </c>
      <c r="F329" t="s">
        <v>37</v>
      </c>
      <c r="G329" t="s">
        <v>31</v>
      </c>
      <c r="H329" t="s">
        <v>25</v>
      </c>
      <c r="I329">
        <v>1</v>
      </c>
      <c r="J329">
        <v>4229.1899999999996</v>
      </c>
      <c r="K329">
        <v>0.1</v>
      </c>
      <c r="L329">
        <v>3806.27</v>
      </c>
      <c r="M329">
        <v>2968.02</v>
      </c>
      <c r="N329">
        <v>838.25</v>
      </c>
      <c r="O329">
        <f t="shared" si="15"/>
        <v>4229.1899999999996</v>
      </c>
      <c r="P329">
        <f t="shared" si="16"/>
        <v>422.91899999999998</v>
      </c>
      <c r="Q329">
        <f t="shared" si="17"/>
        <v>22.022872786218528</v>
      </c>
    </row>
    <row r="330" spans="1:17" x14ac:dyDescent="0.3">
      <c r="A330" t="s">
        <v>517</v>
      </c>
      <c r="B330" s="2">
        <v>46288</v>
      </c>
      <c r="C330" t="s">
        <v>460</v>
      </c>
      <c r="D330" t="s">
        <v>145</v>
      </c>
      <c r="E330" t="s">
        <v>36</v>
      </c>
      <c r="F330" t="s">
        <v>45</v>
      </c>
      <c r="G330" t="s">
        <v>46</v>
      </c>
      <c r="H330" t="s">
        <v>50</v>
      </c>
      <c r="I330">
        <v>1</v>
      </c>
      <c r="J330">
        <v>21943.57</v>
      </c>
      <c r="K330">
        <v>0.05</v>
      </c>
      <c r="L330">
        <v>20846.39</v>
      </c>
      <c r="M330">
        <v>17956.400000000001</v>
      </c>
      <c r="N330">
        <v>2889.99</v>
      </c>
      <c r="O330">
        <f t="shared" si="15"/>
        <v>21943.57</v>
      </c>
      <c r="P330">
        <f t="shared" si="16"/>
        <v>1097.1785</v>
      </c>
      <c r="Q330">
        <f t="shared" si="17"/>
        <v>13.863263615426938</v>
      </c>
    </row>
    <row r="331" spans="1:17" x14ac:dyDescent="0.3">
      <c r="A331" t="s">
        <v>518</v>
      </c>
      <c r="B331" s="2">
        <v>46177</v>
      </c>
      <c r="C331" t="s">
        <v>519</v>
      </c>
      <c r="D331" t="s">
        <v>85</v>
      </c>
      <c r="E331" t="s">
        <v>17</v>
      </c>
      <c r="F331" t="s">
        <v>45</v>
      </c>
      <c r="G331" t="s">
        <v>46</v>
      </c>
      <c r="H331" t="s">
        <v>69</v>
      </c>
      <c r="I331">
        <v>3</v>
      </c>
      <c r="J331">
        <v>41499.58</v>
      </c>
      <c r="K331">
        <v>0.05</v>
      </c>
      <c r="L331">
        <v>118273.8</v>
      </c>
      <c r="M331">
        <v>109664.37</v>
      </c>
      <c r="N331">
        <v>8609.43</v>
      </c>
      <c r="O331">
        <f t="shared" si="15"/>
        <v>124498.74</v>
      </c>
      <c r="P331">
        <f t="shared" si="16"/>
        <v>6224.9370000000008</v>
      </c>
      <c r="Q331">
        <f t="shared" si="17"/>
        <v>7.2792368216798646</v>
      </c>
    </row>
    <row r="332" spans="1:17" x14ac:dyDescent="0.3">
      <c r="A332" t="s">
        <v>520</v>
      </c>
      <c r="B332" s="2">
        <v>46290</v>
      </c>
      <c r="C332" t="s">
        <v>27</v>
      </c>
      <c r="D332" t="s">
        <v>106</v>
      </c>
      <c r="E332" t="s">
        <v>90</v>
      </c>
      <c r="F332" t="s">
        <v>86</v>
      </c>
      <c r="G332" t="s">
        <v>46</v>
      </c>
      <c r="H332" t="s">
        <v>54</v>
      </c>
      <c r="I332">
        <v>7</v>
      </c>
      <c r="J332">
        <v>48375.7</v>
      </c>
      <c r="K332">
        <v>0</v>
      </c>
      <c r="L332">
        <v>338629.9</v>
      </c>
      <c r="M332">
        <v>307374.25</v>
      </c>
      <c r="N332">
        <v>31255.65</v>
      </c>
      <c r="O332">
        <f t="shared" si="15"/>
        <v>338629.89999999997</v>
      </c>
      <c r="P332">
        <f t="shared" si="16"/>
        <v>0</v>
      </c>
      <c r="Q332">
        <f t="shared" si="17"/>
        <v>9.2300325517622621</v>
      </c>
    </row>
    <row r="333" spans="1:17" x14ac:dyDescent="0.3">
      <c r="A333" t="s">
        <v>521</v>
      </c>
      <c r="B333" s="2">
        <v>46245</v>
      </c>
      <c r="C333" t="s">
        <v>522</v>
      </c>
      <c r="D333" t="s">
        <v>62</v>
      </c>
      <c r="E333" t="s">
        <v>24</v>
      </c>
      <c r="F333" t="s">
        <v>57</v>
      </c>
      <c r="G333" t="s">
        <v>19</v>
      </c>
      <c r="H333" t="s">
        <v>38</v>
      </c>
      <c r="I333">
        <v>6</v>
      </c>
      <c r="J333">
        <v>18884.29</v>
      </c>
      <c r="K333">
        <v>0.1</v>
      </c>
      <c r="L333">
        <v>101975.17</v>
      </c>
      <c r="M333">
        <v>75145.59</v>
      </c>
      <c r="N333">
        <v>26829.58</v>
      </c>
      <c r="O333">
        <f t="shared" si="15"/>
        <v>113305.74</v>
      </c>
      <c r="P333">
        <f t="shared" si="16"/>
        <v>11330.574000000001</v>
      </c>
      <c r="Q333">
        <f t="shared" si="17"/>
        <v>26.309914462510825</v>
      </c>
    </row>
    <row r="334" spans="1:17" x14ac:dyDescent="0.3">
      <c r="A334" t="s">
        <v>523</v>
      </c>
      <c r="B334" s="2">
        <v>46121</v>
      </c>
      <c r="C334" t="s">
        <v>524</v>
      </c>
      <c r="D334" t="s">
        <v>108</v>
      </c>
      <c r="E334" t="s">
        <v>36</v>
      </c>
      <c r="F334" t="s">
        <v>57</v>
      </c>
      <c r="G334" t="s">
        <v>19</v>
      </c>
      <c r="H334" t="s">
        <v>103</v>
      </c>
      <c r="I334">
        <v>6</v>
      </c>
      <c r="J334">
        <v>14223.08</v>
      </c>
      <c r="K334">
        <v>0.1</v>
      </c>
      <c r="L334">
        <v>76804.63</v>
      </c>
      <c r="M334">
        <v>58865.35</v>
      </c>
      <c r="N334">
        <v>17939.28</v>
      </c>
      <c r="O334">
        <f t="shared" si="15"/>
        <v>85338.48</v>
      </c>
      <c r="P334">
        <f t="shared" si="16"/>
        <v>8533.848</v>
      </c>
      <c r="Q334">
        <f t="shared" si="17"/>
        <v>23.35702938742104</v>
      </c>
    </row>
    <row r="335" spans="1:17" x14ac:dyDescent="0.3">
      <c r="A335" t="s">
        <v>525</v>
      </c>
      <c r="B335" s="2">
        <v>46217</v>
      </c>
      <c r="C335" t="s">
        <v>526</v>
      </c>
      <c r="D335" t="s">
        <v>28</v>
      </c>
      <c r="E335" t="s">
        <v>29</v>
      </c>
      <c r="F335" t="s">
        <v>41</v>
      </c>
      <c r="G335" t="s">
        <v>42</v>
      </c>
      <c r="H335" t="s">
        <v>50</v>
      </c>
      <c r="I335">
        <v>3</v>
      </c>
      <c r="J335">
        <v>16343.65</v>
      </c>
      <c r="K335">
        <v>0.05</v>
      </c>
      <c r="L335">
        <v>46579.4</v>
      </c>
      <c r="M335">
        <v>39846.78</v>
      </c>
      <c r="N335">
        <v>6732.62</v>
      </c>
      <c r="O335">
        <f t="shared" si="15"/>
        <v>49030.95</v>
      </c>
      <c r="P335">
        <f t="shared" si="16"/>
        <v>2451.5475000000001</v>
      </c>
      <c r="Q335">
        <f t="shared" si="17"/>
        <v>14.454071971729993</v>
      </c>
    </row>
    <row r="336" spans="1:17" x14ac:dyDescent="0.3">
      <c r="A336" t="s">
        <v>527</v>
      </c>
      <c r="B336" s="2">
        <v>46122</v>
      </c>
      <c r="C336" t="s">
        <v>386</v>
      </c>
      <c r="D336" t="s">
        <v>28</v>
      </c>
      <c r="E336" t="s">
        <v>29</v>
      </c>
      <c r="F336" t="s">
        <v>86</v>
      </c>
      <c r="G336" t="s">
        <v>46</v>
      </c>
      <c r="H336" t="s">
        <v>69</v>
      </c>
      <c r="I336">
        <v>2</v>
      </c>
      <c r="J336">
        <v>66032.5</v>
      </c>
      <c r="K336">
        <v>0</v>
      </c>
      <c r="L336">
        <v>132065</v>
      </c>
      <c r="M336">
        <v>115814.01</v>
      </c>
      <c r="N336">
        <v>16250.99</v>
      </c>
      <c r="O336">
        <f t="shared" si="15"/>
        <v>132065</v>
      </c>
      <c r="P336">
        <f t="shared" si="16"/>
        <v>0</v>
      </c>
      <c r="Q336">
        <f t="shared" si="17"/>
        <v>12.305296634233143</v>
      </c>
    </row>
    <row r="337" spans="1:17" x14ac:dyDescent="0.3">
      <c r="A337" t="s">
        <v>528</v>
      </c>
      <c r="B337" s="2">
        <v>46215</v>
      </c>
      <c r="C337" t="s">
        <v>172</v>
      </c>
      <c r="D337" t="s">
        <v>35</v>
      </c>
      <c r="E337" t="s">
        <v>36</v>
      </c>
      <c r="F337" t="s">
        <v>79</v>
      </c>
      <c r="G337" t="s">
        <v>31</v>
      </c>
      <c r="H337" t="s">
        <v>32</v>
      </c>
      <c r="I337">
        <v>2</v>
      </c>
      <c r="J337">
        <v>4869.5</v>
      </c>
      <c r="K337">
        <v>0.05</v>
      </c>
      <c r="L337">
        <v>9252.0499999999993</v>
      </c>
      <c r="M337">
        <v>7375.76</v>
      </c>
      <c r="N337">
        <v>1876.29</v>
      </c>
      <c r="O337">
        <f t="shared" si="15"/>
        <v>9739</v>
      </c>
      <c r="P337">
        <f t="shared" si="16"/>
        <v>486.95000000000005</v>
      </c>
      <c r="Q337">
        <f t="shared" si="17"/>
        <v>20.279721791386777</v>
      </c>
    </row>
    <row r="338" spans="1:17" x14ac:dyDescent="0.3">
      <c r="A338" t="s">
        <v>529</v>
      </c>
      <c r="B338" s="2">
        <v>46086</v>
      </c>
      <c r="C338" t="s">
        <v>530</v>
      </c>
      <c r="D338" t="s">
        <v>85</v>
      </c>
      <c r="E338" t="s">
        <v>17</v>
      </c>
      <c r="F338" t="s">
        <v>18</v>
      </c>
      <c r="G338" t="s">
        <v>19</v>
      </c>
      <c r="H338" t="s">
        <v>38</v>
      </c>
      <c r="I338">
        <v>4</v>
      </c>
      <c r="J338">
        <v>14656.47</v>
      </c>
      <c r="K338">
        <v>0.05</v>
      </c>
      <c r="L338">
        <v>55694.59</v>
      </c>
      <c r="M338">
        <v>43042.86</v>
      </c>
      <c r="N338">
        <v>12651.73</v>
      </c>
      <c r="O338">
        <f t="shared" si="15"/>
        <v>58625.88</v>
      </c>
      <c r="P338">
        <f t="shared" si="16"/>
        <v>2931.2939999999999</v>
      </c>
      <c r="Q338">
        <f t="shared" si="17"/>
        <v>22.716263823829209</v>
      </c>
    </row>
    <row r="339" spans="1:17" x14ac:dyDescent="0.3">
      <c r="A339" t="s">
        <v>531</v>
      </c>
      <c r="B339" s="2">
        <v>46135</v>
      </c>
      <c r="C339" t="s">
        <v>463</v>
      </c>
      <c r="D339" t="s">
        <v>108</v>
      </c>
      <c r="E339" t="s">
        <v>36</v>
      </c>
      <c r="F339" t="s">
        <v>45</v>
      </c>
      <c r="G339" t="s">
        <v>46</v>
      </c>
      <c r="H339" t="s">
        <v>103</v>
      </c>
      <c r="I339">
        <v>3</v>
      </c>
      <c r="J339">
        <v>39279.480000000003</v>
      </c>
      <c r="K339">
        <v>0.05</v>
      </c>
      <c r="L339">
        <v>111946.52</v>
      </c>
      <c r="M339">
        <v>103861.63</v>
      </c>
      <c r="N339">
        <v>8084.89</v>
      </c>
      <c r="O339">
        <f t="shared" si="15"/>
        <v>117838.44</v>
      </c>
      <c r="P339">
        <f t="shared" si="16"/>
        <v>5891.9220000000005</v>
      </c>
      <c r="Q339">
        <f t="shared" si="17"/>
        <v>7.222100338625979</v>
      </c>
    </row>
    <row r="340" spans="1:17" x14ac:dyDescent="0.3">
      <c r="A340" t="s">
        <v>532</v>
      </c>
      <c r="B340" s="2">
        <v>46256</v>
      </c>
      <c r="C340" t="s">
        <v>166</v>
      </c>
      <c r="D340" t="s">
        <v>106</v>
      </c>
      <c r="E340" t="s">
        <v>90</v>
      </c>
      <c r="F340" t="s">
        <v>45</v>
      </c>
      <c r="G340" t="s">
        <v>46</v>
      </c>
      <c r="H340" t="s">
        <v>20</v>
      </c>
      <c r="I340">
        <v>5</v>
      </c>
      <c r="J340">
        <v>30660.31</v>
      </c>
      <c r="K340">
        <v>0.05</v>
      </c>
      <c r="L340">
        <v>145636.47</v>
      </c>
      <c r="M340">
        <v>133107.07</v>
      </c>
      <c r="N340">
        <v>12529.4</v>
      </c>
      <c r="O340">
        <f t="shared" si="15"/>
        <v>153301.55000000002</v>
      </c>
      <c r="P340">
        <f t="shared" si="16"/>
        <v>7665.0775000000012</v>
      </c>
      <c r="Q340">
        <f t="shared" si="17"/>
        <v>8.6032022061506979</v>
      </c>
    </row>
    <row r="341" spans="1:17" x14ac:dyDescent="0.3">
      <c r="A341" t="s">
        <v>533</v>
      </c>
      <c r="B341" s="2">
        <v>46059</v>
      </c>
      <c r="C341" t="s">
        <v>158</v>
      </c>
      <c r="D341" t="s">
        <v>72</v>
      </c>
      <c r="E341" t="s">
        <v>29</v>
      </c>
      <c r="F341" t="s">
        <v>30</v>
      </c>
      <c r="G341" t="s">
        <v>31</v>
      </c>
      <c r="H341" t="s">
        <v>20</v>
      </c>
      <c r="I341">
        <v>6</v>
      </c>
      <c r="J341">
        <v>2790.83</v>
      </c>
      <c r="K341">
        <v>0.05</v>
      </c>
      <c r="L341">
        <v>15907.73</v>
      </c>
      <c r="M341">
        <v>11811.94</v>
      </c>
      <c r="N341">
        <v>4095.79</v>
      </c>
      <c r="O341">
        <f t="shared" si="15"/>
        <v>16744.98</v>
      </c>
      <c r="P341">
        <f t="shared" si="16"/>
        <v>837.24900000000002</v>
      </c>
      <c r="Q341">
        <f t="shared" si="17"/>
        <v>25.747168200616933</v>
      </c>
    </row>
    <row r="342" spans="1:17" x14ac:dyDescent="0.3">
      <c r="A342" t="s">
        <v>534</v>
      </c>
      <c r="B342" s="2">
        <v>46099</v>
      </c>
      <c r="C342" t="s">
        <v>27</v>
      </c>
      <c r="D342" t="s">
        <v>102</v>
      </c>
      <c r="E342" t="s">
        <v>29</v>
      </c>
      <c r="F342" t="s">
        <v>79</v>
      </c>
      <c r="G342" t="s">
        <v>31</v>
      </c>
      <c r="H342" t="s">
        <v>20</v>
      </c>
      <c r="I342">
        <v>6</v>
      </c>
      <c r="J342">
        <v>1534.13</v>
      </c>
      <c r="K342">
        <v>0.05</v>
      </c>
      <c r="L342">
        <v>8744.5400000000009</v>
      </c>
      <c r="M342">
        <v>7519.96</v>
      </c>
      <c r="N342">
        <v>1224.58</v>
      </c>
      <c r="O342">
        <f t="shared" si="15"/>
        <v>9204.7800000000007</v>
      </c>
      <c r="P342">
        <f t="shared" si="16"/>
        <v>460.23900000000003</v>
      </c>
      <c r="Q342">
        <f t="shared" si="17"/>
        <v>14.00393845759754</v>
      </c>
    </row>
    <row r="343" spans="1:17" x14ac:dyDescent="0.3">
      <c r="A343" t="s">
        <v>535</v>
      </c>
      <c r="B343" s="2">
        <v>46184</v>
      </c>
      <c r="C343" t="s">
        <v>213</v>
      </c>
      <c r="D343" t="s">
        <v>108</v>
      </c>
      <c r="E343" t="s">
        <v>36</v>
      </c>
      <c r="F343" t="s">
        <v>53</v>
      </c>
      <c r="G343" t="s">
        <v>46</v>
      </c>
      <c r="H343" t="s">
        <v>32</v>
      </c>
      <c r="I343">
        <v>7</v>
      </c>
      <c r="J343">
        <v>15419.59</v>
      </c>
      <c r="K343">
        <v>0</v>
      </c>
      <c r="L343">
        <v>107937.13</v>
      </c>
      <c r="M343">
        <v>93880.12</v>
      </c>
      <c r="N343">
        <v>14057.01</v>
      </c>
      <c r="O343">
        <f t="shared" si="15"/>
        <v>107937.13</v>
      </c>
      <c r="P343">
        <f t="shared" si="16"/>
        <v>0</v>
      </c>
      <c r="Q343">
        <f t="shared" si="17"/>
        <v>13.023331267007007</v>
      </c>
    </row>
    <row r="344" spans="1:17" x14ac:dyDescent="0.3">
      <c r="A344" t="s">
        <v>536</v>
      </c>
      <c r="B344" s="2">
        <v>46272</v>
      </c>
      <c r="C344" t="s">
        <v>88</v>
      </c>
      <c r="D344" t="s">
        <v>89</v>
      </c>
      <c r="E344" t="s">
        <v>90</v>
      </c>
      <c r="F344" t="s">
        <v>30</v>
      </c>
      <c r="G344" t="s">
        <v>31</v>
      </c>
      <c r="H344" t="s">
        <v>32</v>
      </c>
      <c r="I344">
        <v>4</v>
      </c>
      <c r="J344">
        <v>2238.2800000000002</v>
      </c>
      <c r="K344">
        <v>0</v>
      </c>
      <c r="L344">
        <v>8953.1200000000008</v>
      </c>
      <c r="M344">
        <v>6643.31</v>
      </c>
      <c r="N344">
        <v>2309.81</v>
      </c>
      <c r="O344">
        <f t="shared" si="15"/>
        <v>8953.1200000000008</v>
      </c>
      <c r="P344">
        <f t="shared" si="16"/>
        <v>0</v>
      </c>
      <c r="Q344">
        <f t="shared" si="17"/>
        <v>25.798939364154617</v>
      </c>
    </row>
    <row r="345" spans="1:17" x14ac:dyDescent="0.3">
      <c r="A345" t="s">
        <v>537</v>
      </c>
      <c r="B345" s="2">
        <v>46114</v>
      </c>
      <c r="C345" t="s">
        <v>331</v>
      </c>
      <c r="D345" t="s">
        <v>35</v>
      </c>
      <c r="E345" t="s">
        <v>36</v>
      </c>
      <c r="F345" t="s">
        <v>18</v>
      </c>
      <c r="G345" t="s">
        <v>19</v>
      </c>
      <c r="H345" t="s">
        <v>32</v>
      </c>
      <c r="I345">
        <v>5</v>
      </c>
      <c r="J345">
        <v>27993.99</v>
      </c>
      <c r="K345">
        <v>0.05</v>
      </c>
      <c r="L345">
        <v>132971.45000000001</v>
      </c>
      <c r="M345">
        <v>103894.88</v>
      </c>
      <c r="N345">
        <v>29076.57</v>
      </c>
      <c r="O345">
        <f t="shared" si="15"/>
        <v>139969.95000000001</v>
      </c>
      <c r="P345">
        <f t="shared" si="16"/>
        <v>6998.4975000000013</v>
      </c>
      <c r="Q345">
        <f t="shared" si="17"/>
        <v>21.866776665216477</v>
      </c>
    </row>
    <row r="346" spans="1:17" x14ac:dyDescent="0.3">
      <c r="A346" t="s">
        <v>538</v>
      </c>
      <c r="B346" s="2">
        <v>46274</v>
      </c>
      <c r="C346" t="s">
        <v>341</v>
      </c>
      <c r="D346" t="s">
        <v>123</v>
      </c>
      <c r="E346" t="s">
        <v>90</v>
      </c>
      <c r="F346" t="s">
        <v>18</v>
      </c>
      <c r="G346" t="s">
        <v>19</v>
      </c>
      <c r="H346" t="s">
        <v>38</v>
      </c>
      <c r="I346">
        <v>2</v>
      </c>
      <c r="J346">
        <v>13842.29</v>
      </c>
      <c r="K346">
        <v>0.05</v>
      </c>
      <c r="L346">
        <v>26300.35</v>
      </c>
      <c r="M346">
        <v>19785.8</v>
      </c>
      <c r="N346">
        <v>6514.55</v>
      </c>
      <c r="O346">
        <f t="shared" si="15"/>
        <v>27684.58</v>
      </c>
      <c r="P346">
        <f t="shared" si="16"/>
        <v>1384.2290000000003</v>
      </c>
      <c r="Q346">
        <f t="shared" si="17"/>
        <v>24.769822454834252</v>
      </c>
    </row>
    <row r="347" spans="1:17" x14ac:dyDescent="0.3">
      <c r="A347" t="s">
        <v>539</v>
      </c>
      <c r="B347" s="2">
        <v>46027</v>
      </c>
      <c r="C347" t="s">
        <v>524</v>
      </c>
      <c r="D347" t="s">
        <v>89</v>
      </c>
      <c r="E347" t="s">
        <v>90</v>
      </c>
      <c r="F347" t="s">
        <v>30</v>
      </c>
      <c r="G347" t="s">
        <v>31</v>
      </c>
      <c r="H347" t="s">
        <v>32</v>
      </c>
      <c r="I347">
        <v>3</v>
      </c>
      <c r="J347">
        <v>3080.7</v>
      </c>
      <c r="K347">
        <v>0</v>
      </c>
      <c r="L347">
        <v>9242.1</v>
      </c>
      <c r="M347">
        <v>7143.29</v>
      </c>
      <c r="N347">
        <v>2098.81</v>
      </c>
      <c r="O347">
        <f t="shared" si="15"/>
        <v>9242.0999999999985</v>
      </c>
      <c r="P347">
        <f t="shared" si="16"/>
        <v>0</v>
      </c>
      <c r="Q347">
        <f t="shared" si="17"/>
        <v>22.709232750132543</v>
      </c>
    </row>
    <row r="348" spans="1:17" x14ac:dyDescent="0.3">
      <c r="A348" t="s">
        <v>540</v>
      </c>
      <c r="B348" s="2">
        <v>46195</v>
      </c>
      <c r="C348" t="s">
        <v>541</v>
      </c>
      <c r="D348" t="s">
        <v>35</v>
      </c>
      <c r="E348" t="s">
        <v>36</v>
      </c>
      <c r="F348" t="s">
        <v>53</v>
      </c>
      <c r="G348" t="s">
        <v>46</v>
      </c>
      <c r="H348" t="s">
        <v>69</v>
      </c>
      <c r="I348">
        <v>3</v>
      </c>
      <c r="J348">
        <v>12396.96</v>
      </c>
      <c r="K348">
        <v>0.05</v>
      </c>
      <c r="L348">
        <v>35331.339999999997</v>
      </c>
      <c r="M348">
        <v>31594.2</v>
      </c>
      <c r="N348">
        <v>3737.14</v>
      </c>
      <c r="O348">
        <f t="shared" si="15"/>
        <v>37190.879999999997</v>
      </c>
      <c r="P348">
        <f t="shared" si="16"/>
        <v>1859.5439999999999</v>
      </c>
      <c r="Q348">
        <f t="shared" si="17"/>
        <v>10.577408046227514</v>
      </c>
    </row>
    <row r="349" spans="1:17" x14ac:dyDescent="0.3">
      <c r="A349" t="s">
        <v>542</v>
      </c>
      <c r="B349" s="2">
        <v>46068</v>
      </c>
      <c r="C349" t="s">
        <v>82</v>
      </c>
      <c r="D349" t="s">
        <v>72</v>
      </c>
      <c r="E349" t="s">
        <v>29</v>
      </c>
      <c r="F349" t="s">
        <v>53</v>
      </c>
      <c r="G349" t="s">
        <v>46</v>
      </c>
      <c r="H349" t="s">
        <v>103</v>
      </c>
      <c r="I349">
        <v>3</v>
      </c>
      <c r="J349">
        <v>12868.7</v>
      </c>
      <c r="K349">
        <v>0.05</v>
      </c>
      <c r="L349">
        <v>36675.800000000003</v>
      </c>
      <c r="M349">
        <v>32664.67</v>
      </c>
      <c r="N349">
        <v>4011.13</v>
      </c>
      <c r="O349">
        <f t="shared" si="15"/>
        <v>38606.100000000006</v>
      </c>
      <c r="P349">
        <f t="shared" si="16"/>
        <v>1930.3050000000003</v>
      </c>
      <c r="Q349">
        <f t="shared" si="17"/>
        <v>10.936721216715108</v>
      </c>
    </row>
    <row r="350" spans="1:17" x14ac:dyDescent="0.3">
      <c r="A350" t="s">
        <v>543</v>
      </c>
      <c r="B350" s="2">
        <v>46092</v>
      </c>
      <c r="C350" t="s">
        <v>74</v>
      </c>
      <c r="D350" t="s">
        <v>35</v>
      </c>
      <c r="E350" t="s">
        <v>36</v>
      </c>
      <c r="F350" t="s">
        <v>57</v>
      </c>
      <c r="G350" t="s">
        <v>19</v>
      </c>
      <c r="H350" t="s">
        <v>32</v>
      </c>
      <c r="I350">
        <v>6</v>
      </c>
      <c r="J350">
        <v>11380.61</v>
      </c>
      <c r="K350">
        <v>0.05</v>
      </c>
      <c r="L350">
        <v>64869.48</v>
      </c>
      <c r="M350">
        <v>48812.639999999999</v>
      </c>
      <c r="N350">
        <v>16056.84</v>
      </c>
      <c r="O350">
        <f t="shared" si="15"/>
        <v>68283.66</v>
      </c>
      <c r="P350">
        <f t="shared" si="16"/>
        <v>3414.1830000000004</v>
      </c>
      <c r="Q350">
        <f t="shared" si="17"/>
        <v>24.752533857216058</v>
      </c>
    </row>
    <row r="351" spans="1:17" x14ac:dyDescent="0.3">
      <c r="A351" t="s">
        <v>544</v>
      </c>
      <c r="B351" s="2">
        <v>46225</v>
      </c>
      <c r="C351" t="s">
        <v>174</v>
      </c>
      <c r="D351" t="s">
        <v>62</v>
      </c>
      <c r="E351" t="s">
        <v>24</v>
      </c>
      <c r="F351" t="s">
        <v>49</v>
      </c>
      <c r="G351" t="s">
        <v>46</v>
      </c>
      <c r="H351" t="s">
        <v>32</v>
      </c>
      <c r="I351">
        <v>3</v>
      </c>
      <c r="J351">
        <v>28163.81</v>
      </c>
      <c r="K351">
        <v>0.1</v>
      </c>
      <c r="L351">
        <v>76042.289999999994</v>
      </c>
      <c r="M351">
        <v>67598.7</v>
      </c>
      <c r="N351">
        <v>8443.59</v>
      </c>
      <c r="O351">
        <f t="shared" si="15"/>
        <v>84491.430000000008</v>
      </c>
      <c r="P351">
        <f t="shared" si="16"/>
        <v>8449.1430000000018</v>
      </c>
      <c r="Q351">
        <f t="shared" si="17"/>
        <v>11.103808157276696</v>
      </c>
    </row>
    <row r="352" spans="1:17" x14ac:dyDescent="0.3">
      <c r="A352" t="s">
        <v>545</v>
      </c>
      <c r="B352" s="2">
        <v>46197</v>
      </c>
      <c r="C352" t="s">
        <v>291</v>
      </c>
      <c r="D352" t="s">
        <v>35</v>
      </c>
      <c r="E352" t="s">
        <v>36</v>
      </c>
      <c r="F352" t="s">
        <v>79</v>
      </c>
      <c r="G352" t="s">
        <v>31</v>
      </c>
      <c r="H352" t="s">
        <v>20</v>
      </c>
      <c r="I352">
        <v>3</v>
      </c>
      <c r="J352">
        <v>9911.16</v>
      </c>
      <c r="K352">
        <v>0</v>
      </c>
      <c r="L352">
        <v>29733.48</v>
      </c>
      <c r="M352">
        <v>25743.119999999999</v>
      </c>
      <c r="N352">
        <v>3990.36</v>
      </c>
      <c r="O352">
        <f t="shared" si="15"/>
        <v>29733.48</v>
      </c>
      <c r="P352">
        <f t="shared" si="16"/>
        <v>0</v>
      </c>
      <c r="Q352">
        <f t="shared" si="17"/>
        <v>13.42042707412654</v>
      </c>
    </row>
    <row r="353" spans="1:17" x14ac:dyDescent="0.3">
      <c r="A353" t="s">
        <v>546</v>
      </c>
      <c r="B353" s="2">
        <v>46247</v>
      </c>
      <c r="C353" t="s">
        <v>530</v>
      </c>
      <c r="D353" t="s">
        <v>23</v>
      </c>
      <c r="E353" t="s">
        <v>24</v>
      </c>
      <c r="F353" t="s">
        <v>49</v>
      </c>
      <c r="G353" t="s">
        <v>46</v>
      </c>
      <c r="H353" t="s">
        <v>54</v>
      </c>
      <c r="I353">
        <v>3</v>
      </c>
      <c r="J353">
        <v>20733.169999999998</v>
      </c>
      <c r="K353">
        <v>0</v>
      </c>
      <c r="L353">
        <v>62199.51</v>
      </c>
      <c r="M353">
        <v>54988.17</v>
      </c>
      <c r="N353">
        <v>7211.34</v>
      </c>
      <c r="O353">
        <f t="shared" si="15"/>
        <v>62199.509999999995</v>
      </c>
      <c r="P353">
        <f t="shared" si="16"/>
        <v>0</v>
      </c>
      <c r="Q353">
        <f t="shared" si="17"/>
        <v>11.593885546686783</v>
      </c>
    </row>
    <row r="354" spans="1:17" x14ac:dyDescent="0.3">
      <c r="A354" t="s">
        <v>547</v>
      </c>
      <c r="B354" s="2">
        <v>46230</v>
      </c>
      <c r="C354" t="s">
        <v>548</v>
      </c>
      <c r="D354" t="s">
        <v>123</v>
      </c>
      <c r="E354" t="s">
        <v>90</v>
      </c>
      <c r="F354" t="s">
        <v>53</v>
      </c>
      <c r="G354" t="s">
        <v>46</v>
      </c>
      <c r="H354" t="s">
        <v>50</v>
      </c>
      <c r="I354">
        <v>3</v>
      </c>
      <c r="J354">
        <v>26880.77</v>
      </c>
      <c r="K354">
        <v>0.1</v>
      </c>
      <c r="L354">
        <v>72578.080000000002</v>
      </c>
      <c r="M354">
        <v>61493.77</v>
      </c>
      <c r="N354">
        <v>11084.31</v>
      </c>
      <c r="O354">
        <f t="shared" si="15"/>
        <v>80642.31</v>
      </c>
      <c r="P354">
        <f t="shared" si="16"/>
        <v>8064.2309999999998</v>
      </c>
      <c r="Q354">
        <f t="shared" si="17"/>
        <v>15.272255755456744</v>
      </c>
    </row>
    <row r="355" spans="1:17" x14ac:dyDescent="0.3">
      <c r="A355" t="s">
        <v>549</v>
      </c>
      <c r="B355" s="2">
        <v>46226</v>
      </c>
      <c r="C355" t="s">
        <v>135</v>
      </c>
      <c r="D355" t="s">
        <v>123</v>
      </c>
      <c r="E355" t="s">
        <v>90</v>
      </c>
      <c r="F355" t="s">
        <v>41</v>
      </c>
      <c r="G355" t="s">
        <v>42</v>
      </c>
      <c r="H355" t="s">
        <v>25</v>
      </c>
      <c r="I355">
        <v>6</v>
      </c>
      <c r="J355">
        <v>12690.24</v>
      </c>
      <c r="K355">
        <v>0.15</v>
      </c>
      <c r="L355">
        <v>64720.22</v>
      </c>
      <c r="M355">
        <v>58179.360000000001</v>
      </c>
      <c r="N355">
        <v>6540.86</v>
      </c>
      <c r="O355">
        <f t="shared" si="15"/>
        <v>76141.440000000002</v>
      </c>
      <c r="P355">
        <f t="shared" si="16"/>
        <v>11421.216</v>
      </c>
      <c r="Q355">
        <f t="shared" si="17"/>
        <v>10.106362432018926</v>
      </c>
    </row>
    <row r="356" spans="1:17" x14ac:dyDescent="0.3">
      <c r="A356" t="s">
        <v>550</v>
      </c>
      <c r="B356" s="2">
        <v>46286</v>
      </c>
      <c r="C356" t="s">
        <v>250</v>
      </c>
      <c r="D356" t="s">
        <v>72</v>
      </c>
      <c r="E356" t="s">
        <v>29</v>
      </c>
      <c r="F356" t="s">
        <v>86</v>
      </c>
      <c r="G356" t="s">
        <v>46</v>
      </c>
      <c r="H356" t="s">
        <v>20</v>
      </c>
      <c r="I356">
        <v>6</v>
      </c>
      <c r="J356">
        <v>48592.49</v>
      </c>
      <c r="K356">
        <v>0</v>
      </c>
      <c r="L356">
        <v>291554.94</v>
      </c>
      <c r="M356">
        <v>246717.59</v>
      </c>
      <c r="N356">
        <v>44837.35</v>
      </c>
      <c r="O356">
        <f t="shared" si="15"/>
        <v>291554.94</v>
      </c>
      <c r="P356">
        <f t="shared" si="16"/>
        <v>0</v>
      </c>
      <c r="Q356">
        <f t="shared" si="17"/>
        <v>15.378696721791096</v>
      </c>
    </row>
    <row r="357" spans="1:17" x14ac:dyDescent="0.3">
      <c r="A357" t="s">
        <v>551</v>
      </c>
      <c r="B357" s="2">
        <v>46023</v>
      </c>
      <c r="C357" t="s">
        <v>229</v>
      </c>
      <c r="D357" t="s">
        <v>35</v>
      </c>
      <c r="E357" t="s">
        <v>36</v>
      </c>
      <c r="F357" t="s">
        <v>30</v>
      </c>
      <c r="G357" t="s">
        <v>31</v>
      </c>
      <c r="H357" t="s">
        <v>38</v>
      </c>
      <c r="I357">
        <v>5</v>
      </c>
      <c r="J357">
        <v>823.8</v>
      </c>
      <c r="K357">
        <v>0.1</v>
      </c>
      <c r="L357">
        <v>3707.1</v>
      </c>
      <c r="M357">
        <v>2761.07</v>
      </c>
      <c r="N357">
        <v>946.03</v>
      </c>
      <c r="O357">
        <f t="shared" si="15"/>
        <v>4119</v>
      </c>
      <c r="P357">
        <f t="shared" si="16"/>
        <v>411.90000000000003</v>
      </c>
      <c r="Q357">
        <f t="shared" si="17"/>
        <v>25.519408702220066</v>
      </c>
    </row>
    <row r="358" spans="1:17" x14ac:dyDescent="0.3">
      <c r="A358" t="s">
        <v>552</v>
      </c>
      <c r="B358" s="2">
        <v>46057</v>
      </c>
      <c r="C358" t="s">
        <v>482</v>
      </c>
      <c r="D358" t="s">
        <v>123</v>
      </c>
      <c r="E358" t="s">
        <v>90</v>
      </c>
      <c r="F358" t="s">
        <v>18</v>
      </c>
      <c r="G358" t="s">
        <v>19</v>
      </c>
      <c r="H358" t="s">
        <v>32</v>
      </c>
      <c r="I358">
        <v>2</v>
      </c>
      <c r="J358">
        <v>15381.1</v>
      </c>
      <c r="K358">
        <v>0</v>
      </c>
      <c r="L358">
        <v>30762.2</v>
      </c>
      <c r="M358">
        <v>24335.82</v>
      </c>
      <c r="N358">
        <v>6426.38</v>
      </c>
      <c r="O358">
        <f t="shared" si="15"/>
        <v>30762.2</v>
      </c>
      <c r="P358">
        <f t="shared" si="16"/>
        <v>0</v>
      </c>
      <c r="Q358">
        <f t="shared" si="17"/>
        <v>20.890508481187954</v>
      </c>
    </row>
    <row r="359" spans="1:17" x14ac:dyDescent="0.3">
      <c r="A359" t="s">
        <v>553</v>
      </c>
      <c r="B359" s="2">
        <v>46094</v>
      </c>
      <c r="C359" t="s">
        <v>182</v>
      </c>
      <c r="D359" t="s">
        <v>106</v>
      </c>
      <c r="E359" t="s">
        <v>90</v>
      </c>
      <c r="F359" t="s">
        <v>45</v>
      </c>
      <c r="G359" t="s">
        <v>46</v>
      </c>
      <c r="H359" t="s">
        <v>54</v>
      </c>
      <c r="I359">
        <v>3</v>
      </c>
      <c r="J359">
        <v>15304.44</v>
      </c>
      <c r="K359">
        <v>0.05</v>
      </c>
      <c r="L359">
        <v>43617.65</v>
      </c>
      <c r="M359">
        <v>39824.620000000003</v>
      </c>
      <c r="N359">
        <v>3793.03</v>
      </c>
      <c r="O359">
        <f t="shared" si="15"/>
        <v>45913.32</v>
      </c>
      <c r="P359">
        <f t="shared" si="16"/>
        <v>2295.6660000000002</v>
      </c>
      <c r="Q359">
        <f t="shared" si="17"/>
        <v>8.6960897709986682</v>
      </c>
    </row>
    <row r="360" spans="1:17" x14ac:dyDescent="0.3">
      <c r="A360" t="s">
        <v>554</v>
      </c>
      <c r="B360" s="2">
        <v>46184</v>
      </c>
      <c r="C360" t="s">
        <v>555</v>
      </c>
      <c r="D360" t="s">
        <v>72</v>
      </c>
      <c r="E360" t="s">
        <v>29</v>
      </c>
      <c r="F360" t="s">
        <v>53</v>
      </c>
      <c r="G360" t="s">
        <v>46</v>
      </c>
      <c r="H360" t="s">
        <v>54</v>
      </c>
      <c r="I360">
        <v>2</v>
      </c>
      <c r="J360">
        <v>10305.879999999999</v>
      </c>
      <c r="K360">
        <v>0.05</v>
      </c>
      <c r="L360">
        <v>19581.169999999998</v>
      </c>
      <c r="M360">
        <v>16317.27</v>
      </c>
      <c r="N360">
        <v>3263.9</v>
      </c>
      <c r="O360">
        <f t="shared" si="15"/>
        <v>20611.759999999998</v>
      </c>
      <c r="P360">
        <f t="shared" si="16"/>
        <v>1030.588</v>
      </c>
      <c r="Q360">
        <f t="shared" si="17"/>
        <v>16.668564748684581</v>
      </c>
    </row>
    <row r="361" spans="1:17" x14ac:dyDescent="0.3">
      <c r="A361" t="s">
        <v>556</v>
      </c>
      <c r="B361" s="2">
        <v>46237</v>
      </c>
      <c r="C361" t="s">
        <v>122</v>
      </c>
      <c r="D361" t="s">
        <v>145</v>
      </c>
      <c r="E361" t="s">
        <v>36</v>
      </c>
      <c r="F361" t="s">
        <v>18</v>
      </c>
      <c r="G361" t="s">
        <v>19</v>
      </c>
      <c r="H361" t="s">
        <v>69</v>
      </c>
      <c r="I361">
        <v>3</v>
      </c>
      <c r="J361">
        <v>15507.16</v>
      </c>
      <c r="K361">
        <v>0</v>
      </c>
      <c r="L361">
        <v>46521.48</v>
      </c>
      <c r="M361">
        <v>35821.96</v>
      </c>
      <c r="N361">
        <v>10699.52</v>
      </c>
      <c r="O361">
        <f t="shared" si="15"/>
        <v>46521.479999999996</v>
      </c>
      <c r="P361">
        <f t="shared" si="16"/>
        <v>0</v>
      </c>
      <c r="Q361">
        <f t="shared" si="17"/>
        <v>22.999096331415078</v>
      </c>
    </row>
    <row r="362" spans="1:17" x14ac:dyDescent="0.3">
      <c r="A362" t="s">
        <v>557</v>
      </c>
      <c r="B362" s="2">
        <v>46255</v>
      </c>
      <c r="C362" t="s">
        <v>530</v>
      </c>
      <c r="D362" t="s">
        <v>145</v>
      </c>
      <c r="E362" t="s">
        <v>36</v>
      </c>
      <c r="F362" t="s">
        <v>30</v>
      </c>
      <c r="G362" t="s">
        <v>31</v>
      </c>
      <c r="H362" t="s">
        <v>69</v>
      </c>
      <c r="I362">
        <v>3</v>
      </c>
      <c r="J362">
        <v>941.41</v>
      </c>
      <c r="K362">
        <v>0</v>
      </c>
      <c r="L362">
        <v>2824.23</v>
      </c>
      <c r="M362">
        <v>2162.75</v>
      </c>
      <c r="N362">
        <v>661.48</v>
      </c>
      <c r="O362">
        <f t="shared" si="15"/>
        <v>2824.23</v>
      </c>
      <c r="P362">
        <f t="shared" si="16"/>
        <v>0</v>
      </c>
      <c r="Q362">
        <f t="shared" si="17"/>
        <v>23.421605180881162</v>
      </c>
    </row>
    <row r="363" spans="1:17" x14ac:dyDescent="0.3">
      <c r="A363" t="s">
        <v>558</v>
      </c>
      <c r="B363" s="2">
        <v>46205</v>
      </c>
      <c r="C363" t="s">
        <v>52</v>
      </c>
      <c r="D363" t="s">
        <v>126</v>
      </c>
      <c r="E363" t="s">
        <v>24</v>
      </c>
      <c r="F363" t="s">
        <v>37</v>
      </c>
      <c r="G363" t="s">
        <v>31</v>
      </c>
      <c r="H363" t="s">
        <v>25</v>
      </c>
      <c r="I363">
        <v>6</v>
      </c>
      <c r="J363">
        <v>6479.85</v>
      </c>
      <c r="K363">
        <v>0</v>
      </c>
      <c r="L363">
        <v>38879.1</v>
      </c>
      <c r="M363">
        <v>30251.279999999999</v>
      </c>
      <c r="N363">
        <v>8627.82</v>
      </c>
      <c r="O363">
        <f t="shared" si="15"/>
        <v>38879.100000000006</v>
      </c>
      <c r="P363">
        <f t="shared" si="16"/>
        <v>0</v>
      </c>
      <c r="Q363">
        <f t="shared" si="17"/>
        <v>22.191408751745797</v>
      </c>
    </row>
    <row r="364" spans="1:17" x14ac:dyDescent="0.3">
      <c r="A364" t="s">
        <v>559</v>
      </c>
      <c r="B364" s="2">
        <v>46075</v>
      </c>
      <c r="C364" t="s">
        <v>345</v>
      </c>
      <c r="D364" t="s">
        <v>23</v>
      </c>
      <c r="E364" t="s">
        <v>24</v>
      </c>
      <c r="F364" t="s">
        <v>53</v>
      </c>
      <c r="G364" t="s">
        <v>46</v>
      </c>
      <c r="H364" t="s">
        <v>54</v>
      </c>
      <c r="I364">
        <v>4</v>
      </c>
      <c r="J364">
        <v>23645.51</v>
      </c>
      <c r="K364">
        <v>0</v>
      </c>
      <c r="L364">
        <v>94582.04</v>
      </c>
      <c r="M364">
        <v>77790.45</v>
      </c>
      <c r="N364">
        <v>16791.59</v>
      </c>
      <c r="O364">
        <f t="shared" si="15"/>
        <v>94582.04</v>
      </c>
      <c r="P364">
        <f t="shared" si="16"/>
        <v>0</v>
      </c>
      <c r="Q364">
        <f t="shared" si="17"/>
        <v>17.753465668534957</v>
      </c>
    </row>
    <row r="365" spans="1:17" x14ac:dyDescent="0.3">
      <c r="A365" t="s">
        <v>560</v>
      </c>
      <c r="B365" s="2">
        <v>46270</v>
      </c>
      <c r="C365" t="s">
        <v>140</v>
      </c>
      <c r="D365" t="s">
        <v>123</v>
      </c>
      <c r="E365" t="s">
        <v>90</v>
      </c>
      <c r="F365" t="s">
        <v>41</v>
      </c>
      <c r="G365" t="s">
        <v>42</v>
      </c>
      <c r="H365" t="s">
        <v>25</v>
      </c>
      <c r="I365">
        <v>7</v>
      </c>
      <c r="J365">
        <v>23967.49</v>
      </c>
      <c r="K365">
        <v>0</v>
      </c>
      <c r="L365">
        <v>167772.43</v>
      </c>
      <c r="M365">
        <v>147189.31</v>
      </c>
      <c r="N365">
        <v>20583.12</v>
      </c>
      <c r="O365">
        <f t="shared" si="15"/>
        <v>167772.43000000002</v>
      </c>
      <c r="P365">
        <f t="shared" si="16"/>
        <v>0</v>
      </c>
      <c r="Q365">
        <f t="shared" si="17"/>
        <v>12.268475815722525</v>
      </c>
    </row>
    <row r="366" spans="1:17" x14ac:dyDescent="0.3">
      <c r="A366" t="s">
        <v>561</v>
      </c>
      <c r="B366" s="2">
        <v>46118</v>
      </c>
      <c r="C366" t="s">
        <v>562</v>
      </c>
      <c r="D366" t="s">
        <v>113</v>
      </c>
      <c r="E366" t="s">
        <v>17</v>
      </c>
      <c r="F366" t="s">
        <v>53</v>
      </c>
      <c r="G366" t="s">
        <v>46</v>
      </c>
      <c r="H366" t="s">
        <v>103</v>
      </c>
      <c r="I366">
        <v>2</v>
      </c>
      <c r="J366">
        <v>32288.89</v>
      </c>
      <c r="K366">
        <v>0.05</v>
      </c>
      <c r="L366">
        <v>61348.89</v>
      </c>
      <c r="M366">
        <v>53125.86</v>
      </c>
      <c r="N366">
        <v>8223.0300000000007</v>
      </c>
      <c r="O366">
        <f t="shared" si="15"/>
        <v>64577.78</v>
      </c>
      <c r="P366">
        <f t="shared" si="16"/>
        <v>3228.8890000000001</v>
      </c>
      <c r="Q366">
        <f t="shared" si="17"/>
        <v>13.403714394832573</v>
      </c>
    </row>
    <row r="367" spans="1:17" x14ac:dyDescent="0.3">
      <c r="A367" t="s">
        <v>563</v>
      </c>
      <c r="B367" s="2">
        <v>46179</v>
      </c>
      <c r="C367" t="s">
        <v>144</v>
      </c>
      <c r="D367" t="s">
        <v>28</v>
      </c>
      <c r="E367" t="s">
        <v>29</v>
      </c>
      <c r="F367" t="s">
        <v>41</v>
      </c>
      <c r="G367" t="s">
        <v>42</v>
      </c>
      <c r="H367" t="s">
        <v>25</v>
      </c>
      <c r="I367">
        <v>3</v>
      </c>
      <c r="J367">
        <v>14645.61</v>
      </c>
      <c r="K367">
        <v>0.05</v>
      </c>
      <c r="L367">
        <v>41739.99</v>
      </c>
      <c r="M367">
        <v>33225.629999999997</v>
      </c>
      <c r="N367">
        <v>8514.36</v>
      </c>
      <c r="O367">
        <f t="shared" si="15"/>
        <v>43936.83</v>
      </c>
      <c r="P367">
        <f t="shared" si="16"/>
        <v>2196.8415</v>
      </c>
      <c r="Q367">
        <f t="shared" si="17"/>
        <v>20.398567417002258</v>
      </c>
    </row>
    <row r="368" spans="1:17" x14ac:dyDescent="0.3">
      <c r="A368" t="s">
        <v>564</v>
      </c>
      <c r="B368" s="2">
        <v>46163</v>
      </c>
      <c r="C368" t="s">
        <v>399</v>
      </c>
      <c r="D368" t="s">
        <v>106</v>
      </c>
      <c r="E368" t="s">
        <v>90</v>
      </c>
      <c r="F368" t="s">
        <v>86</v>
      </c>
      <c r="G368" t="s">
        <v>46</v>
      </c>
      <c r="H368" t="s">
        <v>32</v>
      </c>
      <c r="I368">
        <v>4</v>
      </c>
      <c r="J368">
        <v>60092.55</v>
      </c>
      <c r="K368">
        <v>0.05</v>
      </c>
      <c r="L368">
        <v>228351.69</v>
      </c>
      <c r="M368">
        <v>207434.16</v>
      </c>
      <c r="N368">
        <v>20917.53</v>
      </c>
      <c r="O368">
        <f t="shared" si="15"/>
        <v>240370.2</v>
      </c>
      <c r="P368">
        <f t="shared" si="16"/>
        <v>12018.510000000002</v>
      </c>
      <c r="Q368">
        <f t="shared" si="17"/>
        <v>9.1602256151465298</v>
      </c>
    </row>
    <row r="369" spans="1:17" x14ac:dyDescent="0.3">
      <c r="A369" t="s">
        <v>565</v>
      </c>
      <c r="B369" s="2">
        <v>46239</v>
      </c>
      <c r="C369" t="s">
        <v>151</v>
      </c>
      <c r="D369" t="s">
        <v>23</v>
      </c>
      <c r="E369" t="s">
        <v>24</v>
      </c>
      <c r="F369" t="s">
        <v>57</v>
      </c>
      <c r="G369" t="s">
        <v>19</v>
      </c>
      <c r="H369" t="s">
        <v>69</v>
      </c>
      <c r="I369">
        <v>7</v>
      </c>
      <c r="J369">
        <v>5074.18</v>
      </c>
      <c r="K369">
        <v>0</v>
      </c>
      <c r="L369">
        <v>35519.26</v>
      </c>
      <c r="M369">
        <v>25394.09</v>
      </c>
      <c r="N369">
        <v>10125.17</v>
      </c>
      <c r="O369">
        <f t="shared" si="15"/>
        <v>35519.26</v>
      </c>
      <c r="P369">
        <f t="shared" si="16"/>
        <v>0</v>
      </c>
      <c r="Q369">
        <f t="shared" si="17"/>
        <v>28.506140049088856</v>
      </c>
    </row>
    <row r="370" spans="1:17" x14ac:dyDescent="0.3">
      <c r="A370" t="s">
        <v>566</v>
      </c>
      <c r="B370" s="2">
        <v>46046</v>
      </c>
      <c r="C370" t="s">
        <v>99</v>
      </c>
      <c r="D370" t="s">
        <v>28</v>
      </c>
      <c r="E370" t="s">
        <v>29</v>
      </c>
      <c r="F370" t="s">
        <v>86</v>
      </c>
      <c r="G370" t="s">
        <v>46</v>
      </c>
      <c r="H370" t="s">
        <v>20</v>
      </c>
      <c r="I370">
        <v>1</v>
      </c>
      <c r="J370">
        <v>72044.33</v>
      </c>
      <c r="K370">
        <v>0</v>
      </c>
      <c r="L370">
        <v>72044.33</v>
      </c>
      <c r="M370">
        <v>65521.69</v>
      </c>
      <c r="N370">
        <v>6522.64</v>
      </c>
      <c r="O370">
        <f t="shared" si="15"/>
        <v>72044.33</v>
      </c>
      <c r="P370">
        <f t="shared" si="16"/>
        <v>0</v>
      </c>
      <c r="Q370">
        <f t="shared" si="17"/>
        <v>9.053647941482696</v>
      </c>
    </row>
    <row r="371" spans="1:17" x14ac:dyDescent="0.3">
      <c r="A371" t="s">
        <v>567</v>
      </c>
      <c r="B371" s="2">
        <v>46123</v>
      </c>
      <c r="C371" t="s">
        <v>361</v>
      </c>
      <c r="D371" t="s">
        <v>113</v>
      </c>
      <c r="E371" t="s">
        <v>17</v>
      </c>
      <c r="F371" t="s">
        <v>57</v>
      </c>
      <c r="G371" t="s">
        <v>19</v>
      </c>
      <c r="H371" t="s">
        <v>38</v>
      </c>
      <c r="I371">
        <v>1</v>
      </c>
      <c r="J371">
        <v>13506.82</v>
      </c>
      <c r="K371">
        <v>0.05</v>
      </c>
      <c r="L371">
        <v>12831.48</v>
      </c>
      <c r="M371">
        <v>10350.93</v>
      </c>
      <c r="N371">
        <v>2480.5500000000002</v>
      </c>
      <c r="O371">
        <f t="shared" si="15"/>
        <v>13506.82</v>
      </c>
      <c r="P371">
        <f t="shared" si="16"/>
        <v>675.34100000000001</v>
      </c>
      <c r="Q371">
        <f t="shared" si="17"/>
        <v>19.331752845345978</v>
      </c>
    </row>
    <row r="372" spans="1:17" x14ac:dyDescent="0.3">
      <c r="A372" t="s">
        <v>568</v>
      </c>
      <c r="B372" s="2">
        <v>46035</v>
      </c>
      <c r="C372" t="s">
        <v>84</v>
      </c>
      <c r="D372" t="s">
        <v>123</v>
      </c>
      <c r="E372" t="s">
        <v>90</v>
      </c>
      <c r="F372" t="s">
        <v>30</v>
      </c>
      <c r="G372" t="s">
        <v>31</v>
      </c>
      <c r="H372" t="s">
        <v>103</v>
      </c>
      <c r="I372">
        <v>7</v>
      </c>
      <c r="J372">
        <v>4253.16</v>
      </c>
      <c r="K372">
        <v>0.05</v>
      </c>
      <c r="L372">
        <v>28283.51</v>
      </c>
      <c r="M372">
        <v>22676.28</v>
      </c>
      <c r="N372">
        <v>5607.23</v>
      </c>
      <c r="O372">
        <f t="shared" si="15"/>
        <v>29772.12</v>
      </c>
      <c r="P372">
        <f t="shared" si="16"/>
        <v>1488.606</v>
      </c>
      <c r="Q372">
        <f t="shared" si="17"/>
        <v>19.825085358924689</v>
      </c>
    </row>
    <row r="373" spans="1:17" x14ac:dyDescent="0.3">
      <c r="A373" t="s">
        <v>569</v>
      </c>
      <c r="B373" s="2">
        <v>46122</v>
      </c>
      <c r="C373" t="s">
        <v>268</v>
      </c>
      <c r="D373" t="s">
        <v>108</v>
      </c>
      <c r="E373" t="s">
        <v>36</v>
      </c>
      <c r="F373" t="s">
        <v>57</v>
      </c>
      <c r="G373" t="s">
        <v>19</v>
      </c>
      <c r="H373" t="s">
        <v>25</v>
      </c>
      <c r="I373">
        <v>2</v>
      </c>
      <c r="J373">
        <v>15331.79</v>
      </c>
      <c r="K373">
        <v>0</v>
      </c>
      <c r="L373">
        <v>30663.58</v>
      </c>
      <c r="M373">
        <v>21719.11</v>
      </c>
      <c r="N373">
        <v>8944.4699999999993</v>
      </c>
      <c r="O373">
        <f t="shared" si="15"/>
        <v>30663.58</v>
      </c>
      <c r="P373">
        <f t="shared" si="16"/>
        <v>0</v>
      </c>
      <c r="Q373">
        <f t="shared" si="17"/>
        <v>29.169685992307482</v>
      </c>
    </row>
    <row r="374" spans="1:17" x14ac:dyDescent="0.3">
      <c r="A374" t="s">
        <v>570</v>
      </c>
      <c r="B374" s="2">
        <v>46025</v>
      </c>
      <c r="C374" t="s">
        <v>299</v>
      </c>
      <c r="D374" t="s">
        <v>28</v>
      </c>
      <c r="E374" t="s">
        <v>29</v>
      </c>
      <c r="F374" t="s">
        <v>53</v>
      </c>
      <c r="G374" t="s">
        <v>46</v>
      </c>
      <c r="H374" t="s">
        <v>38</v>
      </c>
      <c r="I374">
        <v>5</v>
      </c>
      <c r="J374">
        <v>25765.65</v>
      </c>
      <c r="K374">
        <v>0.05</v>
      </c>
      <c r="L374">
        <v>122386.84</v>
      </c>
      <c r="M374">
        <v>104418.57</v>
      </c>
      <c r="N374">
        <v>17968.27</v>
      </c>
      <c r="O374">
        <f t="shared" si="15"/>
        <v>128828.25</v>
      </c>
      <c r="P374">
        <f t="shared" si="16"/>
        <v>6441.4125000000004</v>
      </c>
      <c r="Q374">
        <f t="shared" si="17"/>
        <v>14.681537655519172</v>
      </c>
    </row>
    <row r="375" spans="1:17" x14ac:dyDescent="0.3">
      <c r="A375" t="s">
        <v>571</v>
      </c>
      <c r="B375" s="2">
        <v>46043</v>
      </c>
      <c r="C375" t="s">
        <v>176</v>
      </c>
      <c r="D375" t="s">
        <v>28</v>
      </c>
      <c r="E375" t="s">
        <v>29</v>
      </c>
      <c r="F375" t="s">
        <v>49</v>
      </c>
      <c r="G375" t="s">
        <v>46</v>
      </c>
      <c r="H375" t="s">
        <v>54</v>
      </c>
      <c r="I375">
        <v>1</v>
      </c>
      <c r="J375">
        <v>30672.27</v>
      </c>
      <c r="K375">
        <v>0</v>
      </c>
      <c r="L375">
        <v>30672.27</v>
      </c>
      <c r="M375">
        <v>27101.17</v>
      </c>
      <c r="N375">
        <v>3571.1</v>
      </c>
      <c r="O375">
        <f t="shared" si="15"/>
        <v>30672.27</v>
      </c>
      <c r="P375">
        <f t="shared" si="16"/>
        <v>0</v>
      </c>
      <c r="Q375">
        <f t="shared" si="17"/>
        <v>11.642763968887857</v>
      </c>
    </row>
    <row r="376" spans="1:17" x14ac:dyDescent="0.3">
      <c r="A376" t="s">
        <v>572</v>
      </c>
      <c r="B376" s="2">
        <v>46075</v>
      </c>
      <c r="C376" t="s">
        <v>147</v>
      </c>
      <c r="D376" t="s">
        <v>72</v>
      </c>
      <c r="E376" t="s">
        <v>29</v>
      </c>
      <c r="F376" t="s">
        <v>30</v>
      </c>
      <c r="G376" t="s">
        <v>31</v>
      </c>
      <c r="H376" t="s">
        <v>32</v>
      </c>
      <c r="I376">
        <v>2</v>
      </c>
      <c r="J376">
        <v>4626.49</v>
      </c>
      <c r="K376">
        <v>0</v>
      </c>
      <c r="L376">
        <v>9252.98</v>
      </c>
      <c r="M376">
        <v>7715.43</v>
      </c>
      <c r="N376">
        <v>1537.55</v>
      </c>
      <c r="O376">
        <f t="shared" si="15"/>
        <v>9252.98</v>
      </c>
      <c r="P376">
        <f t="shared" si="16"/>
        <v>0</v>
      </c>
      <c r="Q376">
        <f t="shared" si="17"/>
        <v>16.616808855093172</v>
      </c>
    </row>
    <row r="377" spans="1:17" x14ac:dyDescent="0.3">
      <c r="A377" t="s">
        <v>573</v>
      </c>
      <c r="B377" s="2">
        <v>46133</v>
      </c>
      <c r="C377" t="s">
        <v>166</v>
      </c>
      <c r="D377" t="s">
        <v>113</v>
      </c>
      <c r="E377" t="s">
        <v>17</v>
      </c>
      <c r="F377" t="s">
        <v>86</v>
      </c>
      <c r="G377" t="s">
        <v>46</v>
      </c>
      <c r="H377" t="s">
        <v>38</v>
      </c>
      <c r="I377">
        <v>4</v>
      </c>
      <c r="J377">
        <v>81242.64</v>
      </c>
      <c r="K377">
        <v>0</v>
      </c>
      <c r="L377">
        <v>324970.56</v>
      </c>
      <c r="M377">
        <v>283891.19</v>
      </c>
      <c r="N377">
        <v>41079.370000000003</v>
      </c>
      <c r="O377">
        <f t="shared" si="15"/>
        <v>324970.56</v>
      </c>
      <c r="P377">
        <f t="shared" si="16"/>
        <v>0</v>
      </c>
      <c r="Q377">
        <f t="shared" si="17"/>
        <v>12.640951229551378</v>
      </c>
    </row>
    <row r="378" spans="1:17" x14ac:dyDescent="0.3">
      <c r="A378" t="s">
        <v>574</v>
      </c>
      <c r="B378" s="2">
        <v>46252</v>
      </c>
      <c r="C378" t="s">
        <v>328</v>
      </c>
      <c r="D378" t="s">
        <v>89</v>
      </c>
      <c r="E378" t="s">
        <v>90</v>
      </c>
      <c r="F378" t="s">
        <v>79</v>
      </c>
      <c r="G378" t="s">
        <v>31</v>
      </c>
      <c r="H378" t="s">
        <v>50</v>
      </c>
      <c r="I378">
        <v>7</v>
      </c>
      <c r="J378">
        <v>6113.12</v>
      </c>
      <c r="K378">
        <v>0</v>
      </c>
      <c r="L378">
        <v>42791.839999999997</v>
      </c>
      <c r="M378">
        <v>36925.19</v>
      </c>
      <c r="N378">
        <v>5866.65</v>
      </c>
      <c r="O378">
        <f t="shared" si="15"/>
        <v>42791.839999999997</v>
      </c>
      <c r="P378">
        <f t="shared" si="16"/>
        <v>0</v>
      </c>
      <c r="Q378">
        <f t="shared" si="17"/>
        <v>13.70973998781076</v>
      </c>
    </row>
    <row r="379" spans="1:17" x14ac:dyDescent="0.3">
      <c r="A379" t="s">
        <v>575</v>
      </c>
      <c r="B379" s="2">
        <v>46203</v>
      </c>
      <c r="C379" t="s">
        <v>216</v>
      </c>
      <c r="D379" t="s">
        <v>72</v>
      </c>
      <c r="E379" t="s">
        <v>29</v>
      </c>
      <c r="F379" t="s">
        <v>41</v>
      </c>
      <c r="G379" t="s">
        <v>42</v>
      </c>
      <c r="H379" t="s">
        <v>54</v>
      </c>
      <c r="I379">
        <v>6</v>
      </c>
      <c r="J379">
        <v>8884.9699999999993</v>
      </c>
      <c r="K379">
        <v>0</v>
      </c>
      <c r="L379">
        <v>53309.82</v>
      </c>
      <c r="M379">
        <v>45854.34</v>
      </c>
      <c r="N379">
        <v>7455.48</v>
      </c>
      <c r="O379">
        <f t="shared" si="15"/>
        <v>53309.819999999992</v>
      </c>
      <c r="P379">
        <f t="shared" si="16"/>
        <v>0</v>
      </c>
      <c r="Q379">
        <f t="shared" si="17"/>
        <v>13.985190720959102</v>
      </c>
    </row>
    <row r="380" spans="1:17" x14ac:dyDescent="0.3">
      <c r="A380" t="s">
        <v>576</v>
      </c>
      <c r="B380" s="2">
        <v>46029</v>
      </c>
      <c r="C380" t="s">
        <v>44</v>
      </c>
      <c r="D380" t="s">
        <v>16</v>
      </c>
      <c r="E380" t="s">
        <v>17</v>
      </c>
      <c r="F380" t="s">
        <v>41</v>
      </c>
      <c r="G380" t="s">
        <v>42</v>
      </c>
      <c r="H380" t="s">
        <v>32</v>
      </c>
      <c r="I380">
        <v>3</v>
      </c>
      <c r="J380">
        <v>14921.74</v>
      </c>
      <c r="K380">
        <v>0.05</v>
      </c>
      <c r="L380">
        <v>42526.96</v>
      </c>
      <c r="M380">
        <v>35475.74</v>
      </c>
      <c r="N380">
        <v>7051.22</v>
      </c>
      <c r="O380">
        <f t="shared" si="15"/>
        <v>44765.22</v>
      </c>
      <c r="P380">
        <f t="shared" si="16"/>
        <v>2238.261</v>
      </c>
      <c r="Q380">
        <f t="shared" si="17"/>
        <v>16.580587937628273</v>
      </c>
    </row>
    <row r="381" spans="1:17" x14ac:dyDescent="0.3">
      <c r="A381" t="s">
        <v>577</v>
      </c>
      <c r="B381" s="2">
        <v>46182</v>
      </c>
      <c r="C381" t="s">
        <v>436</v>
      </c>
      <c r="D381" t="s">
        <v>102</v>
      </c>
      <c r="E381" t="s">
        <v>29</v>
      </c>
      <c r="F381" t="s">
        <v>18</v>
      </c>
      <c r="G381" t="s">
        <v>19</v>
      </c>
      <c r="H381" t="s">
        <v>38</v>
      </c>
      <c r="I381">
        <v>1</v>
      </c>
      <c r="J381">
        <v>23447.17</v>
      </c>
      <c r="K381">
        <v>0</v>
      </c>
      <c r="L381">
        <v>23447.17</v>
      </c>
      <c r="M381">
        <v>19112.93</v>
      </c>
      <c r="N381">
        <v>4334.24</v>
      </c>
      <c r="O381">
        <f t="shared" si="15"/>
        <v>23447.17</v>
      </c>
      <c r="P381">
        <f t="shared" si="16"/>
        <v>0</v>
      </c>
      <c r="Q381">
        <f t="shared" si="17"/>
        <v>18.48513061491003</v>
      </c>
    </row>
    <row r="382" spans="1:17" x14ac:dyDescent="0.3">
      <c r="A382" t="s">
        <v>578</v>
      </c>
      <c r="B382" s="2">
        <v>46126</v>
      </c>
      <c r="C382" t="s">
        <v>190</v>
      </c>
      <c r="D382" t="s">
        <v>106</v>
      </c>
      <c r="E382" t="s">
        <v>90</v>
      </c>
      <c r="F382" t="s">
        <v>41</v>
      </c>
      <c r="G382" t="s">
        <v>42</v>
      </c>
      <c r="H382" t="s">
        <v>25</v>
      </c>
      <c r="I382">
        <v>2</v>
      </c>
      <c r="J382">
        <v>28497.08</v>
      </c>
      <c r="K382">
        <v>0.05</v>
      </c>
      <c r="L382">
        <v>54144.45</v>
      </c>
      <c r="M382">
        <v>43873.61</v>
      </c>
      <c r="N382">
        <v>10270.84</v>
      </c>
      <c r="O382">
        <f t="shared" si="15"/>
        <v>56994.16</v>
      </c>
      <c r="P382">
        <f t="shared" si="16"/>
        <v>2849.7080000000005</v>
      </c>
      <c r="Q382">
        <f t="shared" si="17"/>
        <v>18.969331113345874</v>
      </c>
    </row>
    <row r="383" spans="1:17" x14ac:dyDescent="0.3">
      <c r="A383" t="s">
        <v>579</v>
      </c>
      <c r="B383" s="2">
        <v>46126</v>
      </c>
      <c r="C383" t="s">
        <v>162</v>
      </c>
      <c r="D383" t="s">
        <v>62</v>
      </c>
      <c r="E383" t="s">
        <v>24</v>
      </c>
      <c r="F383" t="s">
        <v>57</v>
      </c>
      <c r="G383" t="s">
        <v>19</v>
      </c>
      <c r="H383" t="s">
        <v>50</v>
      </c>
      <c r="I383">
        <v>4</v>
      </c>
      <c r="J383">
        <v>18348.22</v>
      </c>
      <c r="K383">
        <v>0.05</v>
      </c>
      <c r="L383">
        <v>69723.240000000005</v>
      </c>
      <c r="M383">
        <v>49117.78</v>
      </c>
      <c r="N383">
        <v>20605.46</v>
      </c>
      <c r="O383">
        <f t="shared" si="15"/>
        <v>73392.88</v>
      </c>
      <c r="P383">
        <f t="shared" si="16"/>
        <v>3669.6440000000002</v>
      </c>
      <c r="Q383">
        <f t="shared" si="17"/>
        <v>29.553216402450598</v>
      </c>
    </row>
    <row r="384" spans="1:17" x14ac:dyDescent="0.3">
      <c r="A384" t="s">
        <v>580</v>
      </c>
      <c r="B384" s="2">
        <v>46255</v>
      </c>
      <c r="C384" t="s">
        <v>204</v>
      </c>
      <c r="D384" t="s">
        <v>89</v>
      </c>
      <c r="E384" t="s">
        <v>90</v>
      </c>
      <c r="F384" t="s">
        <v>37</v>
      </c>
      <c r="G384" t="s">
        <v>31</v>
      </c>
      <c r="H384" t="s">
        <v>32</v>
      </c>
      <c r="I384">
        <v>2</v>
      </c>
      <c r="J384">
        <v>3164.58</v>
      </c>
      <c r="K384">
        <v>0.1</v>
      </c>
      <c r="L384">
        <v>5696.24</v>
      </c>
      <c r="M384">
        <v>4319.67</v>
      </c>
      <c r="N384">
        <v>1376.57</v>
      </c>
      <c r="O384">
        <f t="shared" si="15"/>
        <v>6329.16</v>
      </c>
      <c r="P384">
        <f t="shared" si="16"/>
        <v>632.91600000000005</v>
      </c>
      <c r="Q384">
        <f t="shared" si="17"/>
        <v>24.166292150611632</v>
      </c>
    </row>
    <row r="385" spans="1:17" x14ac:dyDescent="0.3">
      <c r="A385" t="s">
        <v>581</v>
      </c>
      <c r="B385" s="2">
        <v>46289</v>
      </c>
      <c r="C385" t="s">
        <v>299</v>
      </c>
      <c r="D385" t="s">
        <v>108</v>
      </c>
      <c r="E385" t="s">
        <v>36</v>
      </c>
      <c r="F385" t="s">
        <v>30</v>
      </c>
      <c r="G385" t="s">
        <v>31</v>
      </c>
      <c r="H385" t="s">
        <v>69</v>
      </c>
      <c r="I385">
        <v>4</v>
      </c>
      <c r="J385">
        <v>3014.51</v>
      </c>
      <c r="K385">
        <v>0</v>
      </c>
      <c r="L385">
        <v>12058.04</v>
      </c>
      <c r="M385">
        <v>9192.6</v>
      </c>
      <c r="N385">
        <v>2865.44</v>
      </c>
      <c r="O385">
        <f t="shared" si="15"/>
        <v>12058.04</v>
      </c>
      <c r="P385">
        <f t="shared" si="16"/>
        <v>0</v>
      </c>
      <c r="Q385">
        <f t="shared" si="17"/>
        <v>23.763729428663364</v>
      </c>
    </row>
    <row r="386" spans="1:17" x14ac:dyDescent="0.3">
      <c r="A386" t="s">
        <v>582</v>
      </c>
      <c r="B386" s="2">
        <v>46197</v>
      </c>
      <c r="C386" t="s">
        <v>365</v>
      </c>
      <c r="D386" t="s">
        <v>16</v>
      </c>
      <c r="E386" t="s">
        <v>17</v>
      </c>
      <c r="F386" t="s">
        <v>53</v>
      </c>
      <c r="G386" t="s">
        <v>46</v>
      </c>
      <c r="H386" t="s">
        <v>69</v>
      </c>
      <c r="I386">
        <v>4</v>
      </c>
      <c r="J386">
        <v>16553.12</v>
      </c>
      <c r="K386">
        <v>0.05</v>
      </c>
      <c r="L386">
        <v>62901.86</v>
      </c>
      <c r="M386">
        <v>56230.31</v>
      </c>
      <c r="N386">
        <v>6671.55</v>
      </c>
      <c r="O386">
        <f t="shared" si="15"/>
        <v>66212.479999999996</v>
      </c>
      <c r="P386">
        <f t="shared" si="16"/>
        <v>3310.6239999999998</v>
      </c>
      <c r="Q386">
        <f t="shared" si="17"/>
        <v>10.606284138497655</v>
      </c>
    </row>
    <row r="387" spans="1:17" x14ac:dyDescent="0.3">
      <c r="A387" t="s">
        <v>583</v>
      </c>
      <c r="B387" s="2">
        <v>46027</v>
      </c>
      <c r="C387" t="s">
        <v>59</v>
      </c>
      <c r="D387" t="s">
        <v>16</v>
      </c>
      <c r="E387" t="s">
        <v>17</v>
      </c>
      <c r="F387" t="s">
        <v>79</v>
      </c>
      <c r="G387" t="s">
        <v>31</v>
      </c>
      <c r="H387" t="s">
        <v>103</v>
      </c>
      <c r="I387">
        <v>6</v>
      </c>
      <c r="J387">
        <v>3686.71</v>
      </c>
      <c r="K387">
        <v>0</v>
      </c>
      <c r="L387">
        <v>22120.26</v>
      </c>
      <c r="M387">
        <v>18597.63</v>
      </c>
      <c r="N387">
        <v>3522.63</v>
      </c>
      <c r="O387">
        <f t="shared" ref="O387:O450" si="18">I387*J387</f>
        <v>22120.260000000002</v>
      </c>
      <c r="P387">
        <f t="shared" ref="P387:P450" si="19">O387*K387</f>
        <v>0</v>
      </c>
      <c r="Q387">
        <f t="shared" ref="Q387:Q450" si="20">N387/L387*100</f>
        <v>15.924903233506299</v>
      </c>
    </row>
    <row r="388" spans="1:17" x14ac:dyDescent="0.3">
      <c r="A388" t="s">
        <v>584</v>
      </c>
      <c r="B388" s="2">
        <v>46083</v>
      </c>
      <c r="C388" t="s">
        <v>494</v>
      </c>
      <c r="D388" t="s">
        <v>72</v>
      </c>
      <c r="E388" t="s">
        <v>29</v>
      </c>
      <c r="F388" t="s">
        <v>30</v>
      </c>
      <c r="G388" t="s">
        <v>31</v>
      </c>
      <c r="H388" t="s">
        <v>25</v>
      </c>
      <c r="I388">
        <v>6</v>
      </c>
      <c r="J388">
        <v>4841.7</v>
      </c>
      <c r="K388">
        <v>0</v>
      </c>
      <c r="L388">
        <v>29050.2</v>
      </c>
      <c r="M388">
        <v>21645.14</v>
      </c>
      <c r="N388">
        <v>7405.06</v>
      </c>
      <c r="O388">
        <f t="shared" si="18"/>
        <v>29050.199999999997</v>
      </c>
      <c r="P388">
        <f t="shared" si="19"/>
        <v>0</v>
      </c>
      <c r="Q388">
        <f t="shared" si="20"/>
        <v>25.49056460884951</v>
      </c>
    </row>
    <row r="389" spans="1:17" x14ac:dyDescent="0.3">
      <c r="A389" t="s">
        <v>585</v>
      </c>
      <c r="B389" s="2">
        <v>46245</v>
      </c>
      <c r="C389" t="s">
        <v>252</v>
      </c>
      <c r="D389" t="s">
        <v>145</v>
      </c>
      <c r="E389" t="s">
        <v>36</v>
      </c>
      <c r="F389" t="s">
        <v>49</v>
      </c>
      <c r="G389" t="s">
        <v>46</v>
      </c>
      <c r="H389" t="s">
        <v>69</v>
      </c>
      <c r="I389">
        <v>5</v>
      </c>
      <c r="J389">
        <v>16640.990000000002</v>
      </c>
      <c r="K389">
        <v>0.05</v>
      </c>
      <c r="L389">
        <v>79044.7</v>
      </c>
      <c r="M389">
        <v>67125.490000000005</v>
      </c>
      <c r="N389">
        <v>11919.21</v>
      </c>
      <c r="O389">
        <f t="shared" si="18"/>
        <v>83204.950000000012</v>
      </c>
      <c r="P389">
        <f t="shared" si="19"/>
        <v>4160.2475000000004</v>
      </c>
      <c r="Q389">
        <f t="shared" si="20"/>
        <v>15.079075510439029</v>
      </c>
    </row>
    <row r="390" spans="1:17" x14ac:dyDescent="0.3">
      <c r="A390" t="s">
        <v>586</v>
      </c>
      <c r="B390" s="2">
        <v>46231</v>
      </c>
      <c r="C390" t="s">
        <v>88</v>
      </c>
      <c r="D390" t="s">
        <v>102</v>
      </c>
      <c r="E390" t="s">
        <v>29</v>
      </c>
      <c r="F390" t="s">
        <v>45</v>
      </c>
      <c r="G390" t="s">
        <v>46</v>
      </c>
      <c r="H390" t="s">
        <v>32</v>
      </c>
      <c r="I390">
        <v>4</v>
      </c>
      <c r="J390">
        <v>57689.25</v>
      </c>
      <c r="K390">
        <v>0.05</v>
      </c>
      <c r="L390">
        <v>219219.15</v>
      </c>
      <c r="M390">
        <v>203917.57</v>
      </c>
      <c r="N390">
        <v>15301.58</v>
      </c>
      <c r="O390">
        <f t="shared" si="18"/>
        <v>230757</v>
      </c>
      <c r="P390">
        <f t="shared" si="19"/>
        <v>11537.85</v>
      </c>
      <c r="Q390">
        <f t="shared" si="20"/>
        <v>6.9800380121900849</v>
      </c>
    </row>
    <row r="391" spans="1:17" x14ac:dyDescent="0.3">
      <c r="A391" t="s">
        <v>587</v>
      </c>
      <c r="B391" s="2">
        <v>46274</v>
      </c>
      <c r="C391" t="s">
        <v>135</v>
      </c>
      <c r="D391" t="s">
        <v>23</v>
      </c>
      <c r="E391" t="s">
        <v>24</v>
      </c>
      <c r="F391" t="s">
        <v>37</v>
      </c>
      <c r="G391" t="s">
        <v>31</v>
      </c>
      <c r="H391" t="s">
        <v>54</v>
      </c>
      <c r="I391">
        <v>4</v>
      </c>
      <c r="J391">
        <v>5941.59</v>
      </c>
      <c r="K391">
        <v>0</v>
      </c>
      <c r="L391">
        <v>23766.36</v>
      </c>
      <c r="M391">
        <v>19192.77</v>
      </c>
      <c r="N391">
        <v>4573.59</v>
      </c>
      <c r="O391">
        <f t="shared" si="18"/>
        <v>23766.36</v>
      </c>
      <c r="P391">
        <f t="shared" si="19"/>
        <v>0</v>
      </c>
      <c r="Q391">
        <f t="shared" si="20"/>
        <v>19.243964999267874</v>
      </c>
    </row>
    <row r="392" spans="1:17" x14ac:dyDescent="0.3">
      <c r="A392" t="s">
        <v>588</v>
      </c>
      <c r="B392" s="2">
        <v>46176</v>
      </c>
      <c r="C392" t="s">
        <v>463</v>
      </c>
      <c r="D392" t="s">
        <v>113</v>
      </c>
      <c r="E392" t="s">
        <v>17</v>
      </c>
      <c r="F392" t="s">
        <v>79</v>
      </c>
      <c r="G392" t="s">
        <v>31</v>
      </c>
      <c r="H392" t="s">
        <v>32</v>
      </c>
      <c r="I392">
        <v>5</v>
      </c>
      <c r="J392">
        <v>10157.43</v>
      </c>
      <c r="K392">
        <v>0.1</v>
      </c>
      <c r="L392">
        <v>45708.44</v>
      </c>
      <c r="M392">
        <v>34615.86</v>
      </c>
      <c r="N392">
        <v>11092.58</v>
      </c>
      <c r="O392">
        <f t="shared" si="18"/>
        <v>50787.15</v>
      </c>
      <c r="P392">
        <f t="shared" si="19"/>
        <v>5078.7150000000001</v>
      </c>
      <c r="Q392">
        <f t="shared" si="20"/>
        <v>24.268122036105368</v>
      </c>
    </row>
    <row r="393" spans="1:17" x14ac:dyDescent="0.3">
      <c r="A393" t="s">
        <v>589</v>
      </c>
      <c r="B393" s="2">
        <v>46267</v>
      </c>
      <c r="C393" t="s">
        <v>218</v>
      </c>
      <c r="D393" t="s">
        <v>123</v>
      </c>
      <c r="E393" t="s">
        <v>90</v>
      </c>
      <c r="F393" t="s">
        <v>45</v>
      </c>
      <c r="G393" t="s">
        <v>46</v>
      </c>
      <c r="H393" t="s">
        <v>69</v>
      </c>
      <c r="I393">
        <v>5</v>
      </c>
      <c r="J393">
        <v>52865.51</v>
      </c>
      <c r="K393">
        <v>0.1</v>
      </c>
      <c r="L393">
        <v>237894.8</v>
      </c>
      <c r="M393">
        <v>207068.86</v>
      </c>
      <c r="N393">
        <v>30825.94</v>
      </c>
      <c r="O393">
        <f t="shared" si="18"/>
        <v>264327.55</v>
      </c>
      <c r="P393">
        <f t="shared" si="19"/>
        <v>26432.755000000001</v>
      </c>
      <c r="Q393">
        <f t="shared" si="20"/>
        <v>12.957803197043399</v>
      </c>
    </row>
    <row r="394" spans="1:17" x14ac:dyDescent="0.3">
      <c r="A394" t="s">
        <v>590</v>
      </c>
      <c r="B394" s="2">
        <v>46061</v>
      </c>
      <c r="C394" t="s">
        <v>285</v>
      </c>
      <c r="D394" t="s">
        <v>89</v>
      </c>
      <c r="E394" t="s">
        <v>90</v>
      </c>
      <c r="F394" t="s">
        <v>79</v>
      </c>
      <c r="G394" t="s">
        <v>31</v>
      </c>
      <c r="H394" t="s">
        <v>38</v>
      </c>
      <c r="I394">
        <v>6</v>
      </c>
      <c r="J394">
        <v>7302.92</v>
      </c>
      <c r="K394">
        <v>0.1</v>
      </c>
      <c r="L394">
        <v>39435.769999999997</v>
      </c>
      <c r="M394">
        <v>31611.78</v>
      </c>
      <c r="N394">
        <v>7823.99</v>
      </c>
      <c r="O394">
        <f t="shared" si="18"/>
        <v>43817.520000000004</v>
      </c>
      <c r="P394">
        <f t="shared" si="19"/>
        <v>4381.7520000000004</v>
      </c>
      <c r="Q394">
        <f t="shared" si="20"/>
        <v>19.839830691780584</v>
      </c>
    </row>
    <row r="395" spans="1:17" x14ac:dyDescent="0.3">
      <c r="A395" t="s">
        <v>591</v>
      </c>
      <c r="B395" s="2">
        <v>46123</v>
      </c>
      <c r="C395" t="s">
        <v>353</v>
      </c>
      <c r="D395" t="s">
        <v>28</v>
      </c>
      <c r="E395" t="s">
        <v>29</v>
      </c>
      <c r="F395" t="s">
        <v>37</v>
      </c>
      <c r="G395" t="s">
        <v>31</v>
      </c>
      <c r="H395" t="s">
        <v>54</v>
      </c>
      <c r="I395">
        <v>5</v>
      </c>
      <c r="J395">
        <v>8340.4</v>
      </c>
      <c r="K395">
        <v>0</v>
      </c>
      <c r="L395">
        <v>41702</v>
      </c>
      <c r="M395">
        <v>34254.01</v>
      </c>
      <c r="N395">
        <v>7447.99</v>
      </c>
      <c r="O395">
        <f t="shared" si="18"/>
        <v>41702</v>
      </c>
      <c r="P395">
        <f t="shared" si="19"/>
        <v>0</v>
      </c>
      <c r="Q395">
        <f t="shared" si="20"/>
        <v>17.860030693971513</v>
      </c>
    </row>
    <row r="396" spans="1:17" x14ac:dyDescent="0.3">
      <c r="A396" t="s">
        <v>592</v>
      </c>
      <c r="B396" s="2">
        <v>46113</v>
      </c>
      <c r="C396" t="s">
        <v>184</v>
      </c>
      <c r="D396" t="s">
        <v>113</v>
      </c>
      <c r="E396" t="s">
        <v>17</v>
      </c>
      <c r="F396" t="s">
        <v>30</v>
      </c>
      <c r="G396" t="s">
        <v>31</v>
      </c>
      <c r="H396" t="s">
        <v>38</v>
      </c>
      <c r="I396">
        <v>5</v>
      </c>
      <c r="J396">
        <v>1832.39</v>
      </c>
      <c r="K396">
        <v>0.05</v>
      </c>
      <c r="L396">
        <v>8703.85</v>
      </c>
      <c r="M396">
        <v>6648.73</v>
      </c>
      <c r="N396">
        <v>2055.12</v>
      </c>
      <c r="O396">
        <f t="shared" si="18"/>
        <v>9161.9500000000007</v>
      </c>
      <c r="P396">
        <f t="shared" si="19"/>
        <v>458.09750000000008</v>
      </c>
      <c r="Q396">
        <f t="shared" si="20"/>
        <v>23.611620145108198</v>
      </c>
    </row>
    <row r="397" spans="1:17" x14ac:dyDescent="0.3">
      <c r="A397" t="s">
        <v>593</v>
      </c>
      <c r="B397" s="2">
        <v>46287</v>
      </c>
      <c r="C397" t="s">
        <v>140</v>
      </c>
      <c r="D397" t="s">
        <v>113</v>
      </c>
      <c r="E397" t="s">
        <v>17</v>
      </c>
      <c r="F397" t="s">
        <v>18</v>
      </c>
      <c r="G397" t="s">
        <v>19</v>
      </c>
      <c r="H397" t="s">
        <v>54</v>
      </c>
      <c r="I397">
        <v>2</v>
      </c>
      <c r="J397">
        <v>27791.81</v>
      </c>
      <c r="K397">
        <v>0.15</v>
      </c>
      <c r="L397">
        <v>47246.080000000002</v>
      </c>
      <c r="M397">
        <v>39432.080000000002</v>
      </c>
      <c r="N397">
        <v>7814</v>
      </c>
      <c r="O397">
        <f t="shared" si="18"/>
        <v>55583.62</v>
      </c>
      <c r="P397">
        <f t="shared" si="19"/>
        <v>8337.5429999999997</v>
      </c>
      <c r="Q397">
        <f t="shared" si="20"/>
        <v>16.538938256888187</v>
      </c>
    </row>
    <row r="398" spans="1:17" x14ac:dyDescent="0.3">
      <c r="A398" t="s">
        <v>594</v>
      </c>
      <c r="B398" s="2">
        <v>46263</v>
      </c>
      <c r="C398" t="s">
        <v>492</v>
      </c>
      <c r="D398" t="s">
        <v>106</v>
      </c>
      <c r="E398" t="s">
        <v>90</v>
      </c>
      <c r="F398" t="s">
        <v>79</v>
      </c>
      <c r="G398" t="s">
        <v>31</v>
      </c>
      <c r="H398" t="s">
        <v>25</v>
      </c>
      <c r="I398">
        <v>6</v>
      </c>
      <c r="J398">
        <v>2179.79</v>
      </c>
      <c r="K398">
        <v>0.1</v>
      </c>
      <c r="L398">
        <v>11770.87</v>
      </c>
      <c r="M398">
        <v>8903.24</v>
      </c>
      <c r="N398">
        <v>2867.63</v>
      </c>
      <c r="O398">
        <f t="shared" si="18"/>
        <v>13078.74</v>
      </c>
      <c r="P398">
        <f t="shared" si="19"/>
        <v>1307.874</v>
      </c>
      <c r="Q398">
        <f t="shared" si="20"/>
        <v>24.362090482691592</v>
      </c>
    </row>
    <row r="399" spans="1:17" x14ac:dyDescent="0.3">
      <c r="A399" t="s">
        <v>595</v>
      </c>
      <c r="B399" s="2">
        <v>46228</v>
      </c>
      <c r="C399" t="s">
        <v>88</v>
      </c>
      <c r="D399" t="s">
        <v>89</v>
      </c>
      <c r="E399" t="s">
        <v>90</v>
      </c>
      <c r="F399" t="s">
        <v>45</v>
      </c>
      <c r="G399" t="s">
        <v>46</v>
      </c>
      <c r="H399" t="s">
        <v>69</v>
      </c>
      <c r="I399">
        <v>5</v>
      </c>
      <c r="J399">
        <v>64622.11</v>
      </c>
      <c r="K399">
        <v>0.05</v>
      </c>
      <c r="L399">
        <v>306955.02</v>
      </c>
      <c r="M399">
        <v>278631.65000000002</v>
      </c>
      <c r="N399">
        <v>28323.37</v>
      </c>
      <c r="O399">
        <f t="shared" si="18"/>
        <v>323110.55</v>
      </c>
      <c r="P399">
        <f t="shared" si="19"/>
        <v>16155.5275</v>
      </c>
      <c r="Q399">
        <f t="shared" si="20"/>
        <v>9.2272053410300945</v>
      </c>
    </row>
    <row r="400" spans="1:17" x14ac:dyDescent="0.3">
      <c r="A400" t="s">
        <v>596</v>
      </c>
      <c r="B400" s="2">
        <v>46136</v>
      </c>
      <c r="C400" t="s">
        <v>64</v>
      </c>
      <c r="D400" t="s">
        <v>89</v>
      </c>
      <c r="E400" t="s">
        <v>90</v>
      </c>
      <c r="F400" t="s">
        <v>37</v>
      </c>
      <c r="G400" t="s">
        <v>31</v>
      </c>
      <c r="H400" t="s">
        <v>69</v>
      </c>
      <c r="I400">
        <v>4</v>
      </c>
      <c r="J400">
        <v>8957.52</v>
      </c>
      <c r="K400">
        <v>0</v>
      </c>
      <c r="L400">
        <v>35830.080000000002</v>
      </c>
      <c r="M400">
        <v>28638.45</v>
      </c>
      <c r="N400">
        <v>7191.63</v>
      </c>
      <c r="O400">
        <f t="shared" si="18"/>
        <v>35830.080000000002</v>
      </c>
      <c r="P400">
        <f t="shared" si="19"/>
        <v>0</v>
      </c>
      <c r="Q400">
        <f t="shared" si="20"/>
        <v>20.071487420625349</v>
      </c>
    </row>
    <row r="401" spans="1:17" x14ac:dyDescent="0.3">
      <c r="A401" t="s">
        <v>597</v>
      </c>
      <c r="B401" s="2">
        <v>46215</v>
      </c>
      <c r="C401" t="s">
        <v>61</v>
      </c>
      <c r="D401" t="s">
        <v>89</v>
      </c>
      <c r="E401" t="s">
        <v>90</v>
      </c>
      <c r="F401" t="s">
        <v>53</v>
      </c>
      <c r="G401" t="s">
        <v>46</v>
      </c>
      <c r="H401" t="s">
        <v>103</v>
      </c>
      <c r="I401">
        <v>5</v>
      </c>
      <c r="J401">
        <v>31536.03</v>
      </c>
      <c r="K401">
        <v>0</v>
      </c>
      <c r="L401">
        <v>157680.15</v>
      </c>
      <c r="M401">
        <v>135110.12</v>
      </c>
      <c r="N401">
        <v>22570.03</v>
      </c>
      <c r="O401">
        <f t="shared" si="18"/>
        <v>157680.15</v>
      </c>
      <c r="P401">
        <f t="shared" si="19"/>
        <v>0</v>
      </c>
      <c r="Q401">
        <f t="shared" si="20"/>
        <v>14.313805510712669</v>
      </c>
    </row>
    <row r="402" spans="1:17" x14ac:dyDescent="0.3">
      <c r="A402" t="s">
        <v>598</v>
      </c>
      <c r="B402" s="2">
        <v>46171</v>
      </c>
      <c r="C402" t="s">
        <v>599</v>
      </c>
      <c r="D402" t="s">
        <v>106</v>
      </c>
      <c r="E402" t="s">
        <v>90</v>
      </c>
      <c r="F402" t="s">
        <v>37</v>
      </c>
      <c r="G402" t="s">
        <v>31</v>
      </c>
      <c r="H402" t="s">
        <v>25</v>
      </c>
      <c r="I402">
        <v>5</v>
      </c>
      <c r="J402">
        <v>8637.11</v>
      </c>
      <c r="K402">
        <v>0</v>
      </c>
      <c r="L402">
        <v>43185.55</v>
      </c>
      <c r="M402">
        <v>32506.14</v>
      </c>
      <c r="N402">
        <v>10679.41</v>
      </c>
      <c r="O402">
        <f t="shared" si="18"/>
        <v>43185.55</v>
      </c>
      <c r="P402">
        <f t="shared" si="19"/>
        <v>0</v>
      </c>
      <c r="Q402">
        <f t="shared" si="20"/>
        <v>24.729128145872863</v>
      </c>
    </row>
    <row r="403" spans="1:17" x14ac:dyDescent="0.3">
      <c r="A403" t="s">
        <v>600</v>
      </c>
      <c r="B403" s="2">
        <v>46062</v>
      </c>
      <c r="C403" t="s">
        <v>291</v>
      </c>
      <c r="D403" t="s">
        <v>85</v>
      </c>
      <c r="E403" t="s">
        <v>17</v>
      </c>
      <c r="F403" t="s">
        <v>30</v>
      </c>
      <c r="G403" t="s">
        <v>31</v>
      </c>
      <c r="H403" t="s">
        <v>20</v>
      </c>
      <c r="I403">
        <v>7</v>
      </c>
      <c r="J403">
        <v>4005.06</v>
      </c>
      <c r="K403">
        <v>0.05</v>
      </c>
      <c r="L403">
        <v>26633.65</v>
      </c>
      <c r="M403">
        <v>20915.93</v>
      </c>
      <c r="N403">
        <v>5717.72</v>
      </c>
      <c r="O403">
        <f t="shared" si="18"/>
        <v>28035.42</v>
      </c>
      <c r="P403">
        <f t="shared" si="19"/>
        <v>1401.771</v>
      </c>
      <c r="Q403">
        <f t="shared" si="20"/>
        <v>21.468030104773472</v>
      </c>
    </row>
    <row r="404" spans="1:17" x14ac:dyDescent="0.3">
      <c r="A404" t="s">
        <v>601</v>
      </c>
      <c r="B404" s="2">
        <v>46243</v>
      </c>
      <c r="C404" t="s">
        <v>88</v>
      </c>
      <c r="D404" t="s">
        <v>23</v>
      </c>
      <c r="E404" t="s">
        <v>24</v>
      </c>
      <c r="F404" t="s">
        <v>41</v>
      </c>
      <c r="G404" t="s">
        <v>42</v>
      </c>
      <c r="H404" t="s">
        <v>25</v>
      </c>
      <c r="I404">
        <v>7</v>
      </c>
      <c r="J404">
        <v>13096.67</v>
      </c>
      <c r="K404">
        <v>0</v>
      </c>
      <c r="L404">
        <v>91676.69</v>
      </c>
      <c r="M404">
        <v>75511.789999999994</v>
      </c>
      <c r="N404">
        <v>16164.9</v>
      </c>
      <c r="O404">
        <f t="shared" si="18"/>
        <v>91676.69</v>
      </c>
      <c r="P404">
        <f t="shared" si="19"/>
        <v>0</v>
      </c>
      <c r="Q404">
        <f t="shared" si="20"/>
        <v>17.632508328998352</v>
      </c>
    </row>
    <row r="405" spans="1:17" x14ac:dyDescent="0.3">
      <c r="A405" t="s">
        <v>602</v>
      </c>
      <c r="B405" s="2">
        <v>46293</v>
      </c>
      <c r="C405" t="s">
        <v>396</v>
      </c>
      <c r="D405" t="s">
        <v>106</v>
      </c>
      <c r="E405" t="s">
        <v>90</v>
      </c>
      <c r="F405" t="s">
        <v>30</v>
      </c>
      <c r="G405" t="s">
        <v>31</v>
      </c>
      <c r="H405" t="s">
        <v>103</v>
      </c>
      <c r="I405">
        <v>7</v>
      </c>
      <c r="J405">
        <v>2732.01</v>
      </c>
      <c r="K405">
        <v>0.1</v>
      </c>
      <c r="L405">
        <v>17211.66</v>
      </c>
      <c r="M405">
        <v>12759.74</v>
      </c>
      <c r="N405">
        <v>4451.92</v>
      </c>
      <c r="O405">
        <f t="shared" si="18"/>
        <v>19124.07</v>
      </c>
      <c r="P405">
        <f t="shared" si="19"/>
        <v>1912.4070000000002</v>
      </c>
      <c r="Q405">
        <f t="shared" si="20"/>
        <v>25.865721261052098</v>
      </c>
    </row>
    <row r="406" spans="1:17" x14ac:dyDescent="0.3">
      <c r="A406" t="s">
        <v>603</v>
      </c>
      <c r="B406" s="2">
        <v>46026</v>
      </c>
      <c r="C406" t="s">
        <v>213</v>
      </c>
      <c r="D406" t="s">
        <v>106</v>
      </c>
      <c r="E406" t="s">
        <v>90</v>
      </c>
      <c r="F406" t="s">
        <v>45</v>
      </c>
      <c r="G406" t="s">
        <v>46</v>
      </c>
      <c r="H406" t="s">
        <v>20</v>
      </c>
      <c r="I406">
        <v>7</v>
      </c>
      <c r="J406">
        <v>58794.15</v>
      </c>
      <c r="K406">
        <v>0</v>
      </c>
      <c r="L406">
        <v>411559.05</v>
      </c>
      <c r="M406">
        <v>376122.73</v>
      </c>
      <c r="N406">
        <v>35436.32</v>
      </c>
      <c r="O406">
        <f t="shared" si="18"/>
        <v>411559.05</v>
      </c>
      <c r="P406">
        <f t="shared" si="19"/>
        <v>0</v>
      </c>
      <c r="Q406">
        <f t="shared" si="20"/>
        <v>8.6102638248387446</v>
      </c>
    </row>
    <row r="407" spans="1:17" x14ac:dyDescent="0.3">
      <c r="A407" t="s">
        <v>604</v>
      </c>
      <c r="B407" s="2">
        <v>46276</v>
      </c>
      <c r="C407" t="s">
        <v>526</v>
      </c>
      <c r="D407" t="s">
        <v>85</v>
      </c>
      <c r="E407" t="s">
        <v>17</v>
      </c>
      <c r="F407" t="s">
        <v>41</v>
      </c>
      <c r="G407" t="s">
        <v>42</v>
      </c>
      <c r="H407" t="s">
        <v>25</v>
      </c>
      <c r="I407">
        <v>1</v>
      </c>
      <c r="J407">
        <v>6000.28</v>
      </c>
      <c r="K407">
        <v>0</v>
      </c>
      <c r="L407">
        <v>6000.28</v>
      </c>
      <c r="M407">
        <v>5139.47</v>
      </c>
      <c r="N407">
        <v>860.81</v>
      </c>
      <c r="O407">
        <f t="shared" si="18"/>
        <v>6000.28</v>
      </c>
      <c r="P407">
        <f t="shared" si="19"/>
        <v>0</v>
      </c>
      <c r="Q407">
        <f t="shared" si="20"/>
        <v>14.346163845687201</v>
      </c>
    </row>
    <row r="408" spans="1:17" x14ac:dyDescent="0.3">
      <c r="A408" t="s">
        <v>605</v>
      </c>
      <c r="B408" s="2">
        <v>46190</v>
      </c>
      <c r="C408" t="s">
        <v>211</v>
      </c>
      <c r="D408" t="s">
        <v>126</v>
      </c>
      <c r="E408" t="s">
        <v>24</v>
      </c>
      <c r="F408" t="s">
        <v>57</v>
      </c>
      <c r="G408" t="s">
        <v>19</v>
      </c>
      <c r="H408" t="s">
        <v>54</v>
      </c>
      <c r="I408">
        <v>5</v>
      </c>
      <c r="J408">
        <v>10171.379999999999</v>
      </c>
      <c r="K408">
        <v>0</v>
      </c>
      <c r="L408">
        <v>50856.9</v>
      </c>
      <c r="M408">
        <v>36315.480000000003</v>
      </c>
      <c r="N408">
        <v>14541.42</v>
      </c>
      <c r="O408">
        <f t="shared" si="18"/>
        <v>50856.899999999994</v>
      </c>
      <c r="P408">
        <f t="shared" si="19"/>
        <v>0</v>
      </c>
      <c r="Q408">
        <f t="shared" si="20"/>
        <v>28.592816314010488</v>
      </c>
    </row>
    <row r="409" spans="1:17" x14ac:dyDescent="0.3">
      <c r="A409" t="s">
        <v>606</v>
      </c>
      <c r="B409" s="2">
        <v>46060</v>
      </c>
      <c r="C409" t="s">
        <v>607</v>
      </c>
      <c r="D409" t="s">
        <v>106</v>
      </c>
      <c r="E409" t="s">
        <v>90</v>
      </c>
      <c r="F409" t="s">
        <v>79</v>
      </c>
      <c r="G409" t="s">
        <v>31</v>
      </c>
      <c r="H409" t="s">
        <v>50</v>
      </c>
      <c r="I409">
        <v>5</v>
      </c>
      <c r="J409">
        <v>9212.48</v>
      </c>
      <c r="K409">
        <v>0.1</v>
      </c>
      <c r="L409">
        <v>41456.160000000003</v>
      </c>
      <c r="M409">
        <v>33195.94</v>
      </c>
      <c r="N409">
        <v>8260.2199999999993</v>
      </c>
      <c r="O409">
        <f t="shared" si="18"/>
        <v>46062.399999999994</v>
      </c>
      <c r="P409">
        <f t="shared" si="19"/>
        <v>4606.24</v>
      </c>
      <c r="Q409">
        <f t="shared" si="20"/>
        <v>19.925193264402683</v>
      </c>
    </row>
    <row r="410" spans="1:17" x14ac:dyDescent="0.3">
      <c r="A410" t="s">
        <v>608</v>
      </c>
      <c r="B410" s="2">
        <v>46047</v>
      </c>
      <c r="C410" t="s">
        <v>122</v>
      </c>
      <c r="D410" t="s">
        <v>102</v>
      </c>
      <c r="E410" t="s">
        <v>29</v>
      </c>
      <c r="F410" t="s">
        <v>49</v>
      </c>
      <c r="G410" t="s">
        <v>46</v>
      </c>
      <c r="H410" t="s">
        <v>103</v>
      </c>
      <c r="I410">
        <v>6</v>
      </c>
      <c r="J410">
        <v>17085.189999999999</v>
      </c>
      <c r="K410">
        <v>0</v>
      </c>
      <c r="L410">
        <v>102511.14</v>
      </c>
      <c r="M410">
        <v>86113.57</v>
      </c>
      <c r="N410">
        <v>16397.57</v>
      </c>
      <c r="O410">
        <f t="shared" si="18"/>
        <v>102511.13999999998</v>
      </c>
      <c r="P410">
        <f t="shared" si="19"/>
        <v>0</v>
      </c>
      <c r="Q410">
        <f t="shared" si="20"/>
        <v>15.995890788064596</v>
      </c>
    </row>
    <row r="411" spans="1:17" x14ac:dyDescent="0.3">
      <c r="A411" t="s">
        <v>609</v>
      </c>
      <c r="B411" s="2">
        <v>46044</v>
      </c>
      <c r="C411" t="s">
        <v>324</v>
      </c>
      <c r="D411" t="s">
        <v>85</v>
      </c>
      <c r="E411" t="s">
        <v>17</v>
      </c>
      <c r="F411" t="s">
        <v>53</v>
      </c>
      <c r="G411" t="s">
        <v>46</v>
      </c>
      <c r="H411" t="s">
        <v>32</v>
      </c>
      <c r="I411">
        <v>1</v>
      </c>
      <c r="J411">
        <v>24356.58</v>
      </c>
      <c r="K411">
        <v>0</v>
      </c>
      <c r="L411">
        <v>24356.58</v>
      </c>
      <c r="M411">
        <v>20911.419999999998</v>
      </c>
      <c r="N411">
        <v>3445.16</v>
      </c>
      <c r="O411">
        <f t="shared" si="18"/>
        <v>24356.58</v>
      </c>
      <c r="P411">
        <f t="shared" si="19"/>
        <v>0</v>
      </c>
      <c r="Q411">
        <f t="shared" si="20"/>
        <v>14.144678768529898</v>
      </c>
    </row>
    <row r="412" spans="1:17" x14ac:dyDescent="0.3">
      <c r="A412" t="s">
        <v>610</v>
      </c>
      <c r="B412" s="2">
        <v>46184</v>
      </c>
      <c r="C412" t="s">
        <v>379</v>
      </c>
      <c r="D412" t="s">
        <v>35</v>
      </c>
      <c r="E412" t="s">
        <v>36</v>
      </c>
      <c r="F412" t="s">
        <v>41</v>
      </c>
      <c r="G412" t="s">
        <v>42</v>
      </c>
      <c r="H412" t="s">
        <v>38</v>
      </c>
      <c r="I412">
        <v>2</v>
      </c>
      <c r="J412">
        <v>12452.32</v>
      </c>
      <c r="K412">
        <v>0.05</v>
      </c>
      <c r="L412">
        <v>23659.41</v>
      </c>
      <c r="M412">
        <v>20266.53</v>
      </c>
      <c r="N412">
        <v>3392.88</v>
      </c>
      <c r="O412">
        <f t="shared" si="18"/>
        <v>24904.639999999999</v>
      </c>
      <c r="P412">
        <f t="shared" si="19"/>
        <v>1245.232</v>
      </c>
      <c r="Q412">
        <f t="shared" si="20"/>
        <v>14.340509759119099</v>
      </c>
    </row>
    <row r="413" spans="1:17" x14ac:dyDescent="0.3">
      <c r="A413" t="s">
        <v>611</v>
      </c>
      <c r="B413" s="2">
        <v>46133</v>
      </c>
      <c r="C413" t="s">
        <v>268</v>
      </c>
      <c r="D413" t="s">
        <v>62</v>
      </c>
      <c r="E413" t="s">
        <v>24</v>
      </c>
      <c r="F413" t="s">
        <v>30</v>
      </c>
      <c r="G413" t="s">
        <v>31</v>
      </c>
      <c r="H413" t="s">
        <v>69</v>
      </c>
      <c r="I413">
        <v>1</v>
      </c>
      <c r="J413">
        <v>3152.39</v>
      </c>
      <c r="K413">
        <v>0.05</v>
      </c>
      <c r="L413">
        <v>2994.77</v>
      </c>
      <c r="M413">
        <v>2347.4299999999998</v>
      </c>
      <c r="N413">
        <v>647.34</v>
      </c>
      <c r="O413">
        <f t="shared" si="18"/>
        <v>3152.39</v>
      </c>
      <c r="P413">
        <f t="shared" si="19"/>
        <v>157.61950000000002</v>
      </c>
      <c r="Q413">
        <f t="shared" si="20"/>
        <v>21.615683341291653</v>
      </c>
    </row>
    <row r="414" spans="1:17" x14ac:dyDescent="0.3">
      <c r="A414" t="s">
        <v>612</v>
      </c>
      <c r="B414" s="2">
        <v>46110</v>
      </c>
      <c r="C414" t="s">
        <v>166</v>
      </c>
      <c r="D414" t="s">
        <v>123</v>
      </c>
      <c r="E414" t="s">
        <v>90</v>
      </c>
      <c r="F414" t="s">
        <v>18</v>
      </c>
      <c r="G414" t="s">
        <v>19</v>
      </c>
      <c r="H414" t="s">
        <v>54</v>
      </c>
      <c r="I414">
        <v>7</v>
      </c>
      <c r="J414">
        <v>10784.11</v>
      </c>
      <c r="K414">
        <v>0.05</v>
      </c>
      <c r="L414">
        <v>71714.33</v>
      </c>
      <c r="M414">
        <v>52314.22</v>
      </c>
      <c r="N414">
        <v>19400.11</v>
      </c>
      <c r="O414">
        <f t="shared" si="18"/>
        <v>75488.77</v>
      </c>
      <c r="P414">
        <f t="shared" si="19"/>
        <v>3774.4385000000002</v>
      </c>
      <c r="Q414">
        <f t="shared" si="20"/>
        <v>27.051929509764644</v>
      </c>
    </row>
    <row r="415" spans="1:17" x14ac:dyDescent="0.3">
      <c r="A415" t="s">
        <v>613</v>
      </c>
      <c r="B415" s="2">
        <v>46148</v>
      </c>
      <c r="C415" t="s">
        <v>220</v>
      </c>
      <c r="D415" t="s">
        <v>62</v>
      </c>
      <c r="E415" t="s">
        <v>24</v>
      </c>
      <c r="F415" t="s">
        <v>86</v>
      </c>
      <c r="G415" t="s">
        <v>46</v>
      </c>
      <c r="H415" t="s">
        <v>38</v>
      </c>
      <c r="I415">
        <v>1</v>
      </c>
      <c r="J415">
        <v>46234.32</v>
      </c>
      <c r="K415">
        <v>0</v>
      </c>
      <c r="L415">
        <v>46234.32</v>
      </c>
      <c r="M415">
        <v>40938.910000000003</v>
      </c>
      <c r="N415">
        <v>5295.41</v>
      </c>
      <c r="O415">
        <f t="shared" si="18"/>
        <v>46234.32</v>
      </c>
      <c r="P415">
        <f t="shared" si="19"/>
        <v>0</v>
      </c>
      <c r="Q415">
        <f t="shared" si="20"/>
        <v>11.453418153440992</v>
      </c>
    </row>
    <row r="416" spans="1:17" x14ac:dyDescent="0.3">
      <c r="A416" t="s">
        <v>614</v>
      </c>
      <c r="B416" s="2">
        <v>46267</v>
      </c>
      <c r="C416" t="s">
        <v>299</v>
      </c>
      <c r="D416" t="s">
        <v>106</v>
      </c>
      <c r="E416" t="s">
        <v>90</v>
      </c>
      <c r="F416" t="s">
        <v>86</v>
      </c>
      <c r="G416" t="s">
        <v>46</v>
      </c>
      <c r="H416" t="s">
        <v>69</v>
      </c>
      <c r="I416">
        <v>4</v>
      </c>
      <c r="J416">
        <v>73046.789999999994</v>
      </c>
      <c r="K416">
        <v>0.05</v>
      </c>
      <c r="L416">
        <v>277577.8</v>
      </c>
      <c r="M416">
        <v>243287.94</v>
      </c>
      <c r="N416">
        <v>34289.86</v>
      </c>
      <c r="O416">
        <f t="shared" si="18"/>
        <v>292187.15999999997</v>
      </c>
      <c r="P416">
        <f t="shared" si="19"/>
        <v>14609.358</v>
      </c>
      <c r="Q416">
        <f t="shared" si="20"/>
        <v>12.353242946662162</v>
      </c>
    </row>
    <row r="417" spans="1:17" x14ac:dyDescent="0.3">
      <c r="A417" t="s">
        <v>615</v>
      </c>
      <c r="B417" s="2">
        <v>46293</v>
      </c>
      <c r="C417" t="s">
        <v>494</v>
      </c>
      <c r="D417" t="s">
        <v>16</v>
      </c>
      <c r="E417" t="s">
        <v>17</v>
      </c>
      <c r="F417" t="s">
        <v>79</v>
      </c>
      <c r="G417" t="s">
        <v>31</v>
      </c>
      <c r="H417" t="s">
        <v>25</v>
      </c>
      <c r="I417">
        <v>3</v>
      </c>
      <c r="J417">
        <v>5351.03</v>
      </c>
      <c r="K417">
        <v>0.1</v>
      </c>
      <c r="L417">
        <v>14447.78</v>
      </c>
      <c r="M417">
        <v>12480.43</v>
      </c>
      <c r="N417">
        <v>1967.35</v>
      </c>
      <c r="O417">
        <f t="shared" si="18"/>
        <v>16053.09</v>
      </c>
      <c r="P417">
        <f t="shared" si="19"/>
        <v>1605.3090000000002</v>
      </c>
      <c r="Q417">
        <f t="shared" si="20"/>
        <v>13.616970911794061</v>
      </c>
    </row>
    <row r="418" spans="1:17" x14ac:dyDescent="0.3">
      <c r="A418" t="s">
        <v>616</v>
      </c>
      <c r="B418" s="2">
        <v>46292</v>
      </c>
      <c r="C418" t="s">
        <v>169</v>
      </c>
      <c r="D418" t="s">
        <v>123</v>
      </c>
      <c r="E418" t="s">
        <v>90</v>
      </c>
      <c r="F418" t="s">
        <v>57</v>
      </c>
      <c r="G418" t="s">
        <v>19</v>
      </c>
      <c r="H418" t="s">
        <v>20</v>
      </c>
      <c r="I418">
        <v>3</v>
      </c>
      <c r="J418">
        <v>8994.5499999999993</v>
      </c>
      <c r="K418">
        <v>0.05</v>
      </c>
      <c r="L418">
        <v>25634.47</v>
      </c>
      <c r="M418">
        <v>18847.919999999998</v>
      </c>
      <c r="N418">
        <v>6786.55</v>
      </c>
      <c r="O418">
        <f t="shared" si="18"/>
        <v>26983.649999999998</v>
      </c>
      <c r="P418">
        <f t="shared" si="19"/>
        <v>1349.1824999999999</v>
      </c>
      <c r="Q418">
        <f t="shared" si="20"/>
        <v>26.474313687780555</v>
      </c>
    </row>
    <row r="419" spans="1:17" x14ac:dyDescent="0.3">
      <c r="A419" t="s">
        <v>617</v>
      </c>
      <c r="B419" s="2">
        <v>46215</v>
      </c>
      <c r="C419" t="s">
        <v>164</v>
      </c>
      <c r="D419" t="s">
        <v>85</v>
      </c>
      <c r="E419" t="s">
        <v>17</v>
      </c>
      <c r="F419" t="s">
        <v>53</v>
      </c>
      <c r="G419" t="s">
        <v>46</v>
      </c>
      <c r="H419" t="s">
        <v>32</v>
      </c>
      <c r="I419">
        <v>6</v>
      </c>
      <c r="J419">
        <v>12080.8</v>
      </c>
      <c r="K419">
        <v>0.05</v>
      </c>
      <c r="L419">
        <v>68860.56</v>
      </c>
      <c r="M419">
        <v>59243.81</v>
      </c>
      <c r="N419">
        <v>9616.75</v>
      </c>
      <c r="O419">
        <f t="shared" si="18"/>
        <v>72484.799999999988</v>
      </c>
      <c r="P419">
        <f t="shared" si="19"/>
        <v>3624.24</v>
      </c>
      <c r="Q419">
        <f t="shared" si="20"/>
        <v>13.965541378112523</v>
      </c>
    </row>
    <row r="420" spans="1:17" x14ac:dyDescent="0.3">
      <c r="A420" t="s">
        <v>618</v>
      </c>
      <c r="B420" s="2">
        <v>46111</v>
      </c>
      <c r="C420" t="s">
        <v>262</v>
      </c>
      <c r="D420" t="s">
        <v>16</v>
      </c>
      <c r="E420" t="s">
        <v>17</v>
      </c>
      <c r="F420" t="s">
        <v>79</v>
      </c>
      <c r="G420" t="s">
        <v>31</v>
      </c>
      <c r="H420" t="s">
        <v>54</v>
      </c>
      <c r="I420">
        <v>2</v>
      </c>
      <c r="J420">
        <v>7950.32</v>
      </c>
      <c r="K420">
        <v>0.1</v>
      </c>
      <c r="L420">
        <v>14310.58</v>
      </c>
      <c r="M420">
        <v>11341.83</v>
      </c>
      <c r="N420">
        <v>2968.75</v>
      </c>
      <c r="O420">
        <f t="shared" si="18"/>
        <v>15900.64</v>
      </c>
      <c r="P420">
        <f t="shared" si="19"/>
        <v>1590.0640000000001</v>
      </c>
      <c r="Q420">
        <f t="shared" si="20"/>
        <v>20.745141007562236</v>
      </c>
    </row>
    <row r="421" spans="1:17" x14ac:dyDescent="0.3">
      <c r="A421" t="s">
        <v>619</v>
      </c>
      <c r="B421" s="2">
        <v>46228</v>
      </c>
      <c r="C421" t="s">
        <v>262</v>
      </c>
      <c r="D421" t="s">
        <v>23</v>
      </c>
      <c r="E421" t="s">
        <v>24</v>
      </c>
      <c r="F421" t="s">
        <v>57</v>
      </c>
      <c r="G421" t="s">
        <v>19</v>
      </c>
      <c r="H421" t="s">
        <v>38</v>
      </c>
      <c r="I421">
        <v>7</v>
      </c>
      <c r="J421">
        <v>14719.68</v>
      </c>
      <c r="K421">
        <v>0.1</v>
      </c>
      <c r="L421">
        <v>92733.98</v>
      </c>
      <c r="M421">
        <v>75906.58</v>
      </c>
      <c r="N421">
        <v>16827.400000000001</v>
      </c>
      <c r="O421">
        <f t="shared" si="18"/>
        <v>103037.76000000001</v>
      </c>
      <c r="P421">
        <f t="shared" si="19"/>
        <v>10303.776000000002</v>
      </c>
      <c r="Q421">
        <f t="shared" si="20"/>
        <v>18.145883526189646</v>
      </c>
    </row>
    <row r="422" spans="1:17" x14ac:dyDescent="0.3">
      <c r="A422" t="s">
        <v>620</v>
      </c>
      <c r="B422" s="2">
        <v>46135</v>
      </c>
      <c r="C422" t="s">
        <v>231</v>
      </c>
      <c r="D422" t="s">
        <v>28</v>
      </c>
      <c r="E422" t="s">
        <v>29</v>
      </c>
      <c r="F422" t="s">
        <v>30</v>
      </c>
      <c r="G422" t="s">
        <v>31</v>
      </c>
      <c r="H422" t="s">
        <v>69</v>
      </c>
      <c r="I422">
        <v>3</v>
      </c>
      <c r="J422">
        <v>2088.46</v>
      </c>
      <c r="K422">
        <v>0</v>
      </c>
      <c r="L422">
        <v>6265.38</v>
      </c>
      <c r="M422">
        <v>4564.0200000000004</v>
      </c>
      <c r="N422">
        <v>1701.36</v>
      </c>
      <c r="O422">
        <f t="shared" si="18"/>
        <v>6265.38</v>
      </c>
      <c r="P422">
        <f t="shared" si="19"/>
        <v>0</v>
      </c>
      <c r="Q422">
        <f t="shared" si="20"/>
        <v>27.154937130708749</v>
      </c>
    </row>
    <row r="423" spans="1:17" x14ac:dyDescent="0.3">
      <c r="A423" t="s">
        <v>621</v>
      </c>
      <c r="B423" s="2">
        <v>46091</v>
      </c>
      <c r="C423" t="s">
        <v>164</v>
      </c>
      <c r="D423" t="s">
        <v>113</v>
      </c>
      <c r="E423" t="s">
        <v>17</v>
      </c>
      <c r="F423" t="s">
        <v>18</v>
      </c>
      <c r="G423" t="s">
        <v>19</v>
      </c>
      <c r="H423" t="s">
        <v>25</v>
      </c>
      <c r="I423">
        <v>6</v>
      </c>
      <c r="J423">
        <v>23458.959999999999</v>
      </c>
      <c r="K423">
        <v>0</v>
      </c>
      <c r="L423">
        <v>140753.76</v>
      </c>
      <c r="M423">
        <v>112600.82</v>
      </c>
      <c r="N423">
        <v>28152.94</v>
      </c>
      <c r="O423">
        <f t="shared" si="18"/>
        <v>140753.76</v>
      </c>
      <c r="P423">
        <f t="shared" si="19"/>
        <v>0</v>
      </c>
      <c r="Q423">
        <f t="shared" si="20"/>
        <v>20.001554487780641</v>
      </c>
    </row>
    <row r="424" spans="1:17" x14ac:dyDescent="0.3">
      <c r="A424" t="s">
        <v>622</v>
      </c>
      <c r="B424" s="2">
        <v>46069</v>
      </c>
      <c r="C424" t="s">
        <v>52</v>
      </c>
      <c r="D424" t="s">
        <v>126</v>
      </c>
      <c r="E424" t="s">
        <v>24</v>
      </c>
      <c r="F424" t="s">
        <v>79</v>
      </c>
      <c r="G424" t="s">
        <v>31</v>
      </c>
      <c r="H424" t="s">
        <v>54</v>
      </c>
      <c r="I424">
        <v>4</v>
      </c>
      <c r="J424">
        <v>11806.13</v>
      </c>
      <c r="K424">
        <v>0.05</v>
      </c>
      <c r="L424">
        <v>44863.29</v>
      </c>
      <c r="M424">
        <v>35792.080000000002</v>
      </c>
      <c r="N424">
        <v>9071.2099999999991</v>
      </c>
      <c r="O424">
        <f t="shared" si="18"/>
        <v>47224.52</v>
      </c>
      <c r="P424">
        <f t="shared" si="19"/>
        <v>2361.2260000000001</v>
      </c>
      <c r="Q424">
        <f t="shared" si="20"/>
        <v>20.219671807395308</v>
      </c>
    </row>
    <row r="425" spans="1:17" x14ac:dyDescent="0.3">
      <c r="A425" t="s">
        <v>623</v>
      </c>
      <c r="B425" s="2">
        <v>46150</v>
      </c>
      <c r="C425" t="s">
        <v>347</v>
      </c>
      <c r="D425" t="s">
        <v>113</v>
      </c>
      <c r="E425" t="s">
        <v>17</v>
      </c>
      <c r="F425" t="s">
        <v>18</v>
      </c>
      <c r="G425" t="s">
        <v>19</v>
      </c>
      <c r="H425" t="s">
        <v>25</v>
      </c>
      <c r="I425">
        <v>2</v>
      </c>
      <c r="J425">
        <v>27797.599999999999</v>
      </c>
      <c r="K425">
        <v>0.1</v>
      </c>
      <c r="L425">
        <v>50035.68</v>
      </c>
      <c r="M425">
        <v>36537.67</v>
      </c>
      <c r="N425">
        <v>13498.01</v>
      </c>
      <c r="O425">
        <f t="shared" si="18"/>
        <v>55595.199999999997</v>
      </c>
      <c r="P425">
        <f t="shared" si="19"/>
        <v>5559.52</v>
      </c>
      <c r="Q425">
        <f t="shared" si="20"/>
        <v>26.976769377372307</v>
      </c>
    </row>
    <row r="426" spans="1:17" x14ac:dyDescent="0.3">
      <c r="A426" t="s">
        <v>624</v>
      </c>
      <c r="B426" s="2">
        <v>46084</v>
      </c>
      <c r="C426" t="s">
        <v>56</v>
      </c>
      <c r="D426" t="s">
        <v>108</v>
      </c>
      <c r="E426" t="s">
        <v>36</v>
      </c>
      <c r="F426" t="s">
        <v>37</v>
      </c>
      <c r="G426" t="s">
        <v>31</v>
      </c>
      <c r="H426" t="s">
        <v>25</v>
      </c>
      <c r="I426">
        <v>6</v>
      </c>
      <c r="J426">
        <v>3024.6</v>
      </c>
      <c r="K426">
        <v>0.05</v>
      </c>
      <c r="L426">
        <v>17240.22</v>
      </c>
      <c r="M426">
        <v>12801.3</v>
      </c>
      <c r="N426">
        <v>4438.92</v>
      </c>
      <c r="O426">
        <f t="shared" si="18"/>
        <v>18147.599999999999</v>
      </c>
      <c r="P426">
        <f t="shared" si="19"/>
        <v>907.38</v>
      </c>
      <c r="Q426">
        <f t="shared" si="20"/>
        <v>25.747467259698542</v>
      </c>
    </row>
    <row r="427" spans="1:17" x14ac:dyDescent="0.3">
      <c r="A427" t="s">
        <v>625</v>
      </c>
      <c r="B427" s="2">
        <v>46241</v>
      </c>
      <c r="C427" t="s">
        <v>149</v>
      </c>
      <c r="D427" t="s">
        <v>89</v>
      </c>
      <c r="E427" t="s">
        <v>90</v>
      </c>
      <c r="F427" t="s">
        <v>57</v>
      </c>
      <c r="G427" t="s">
        <v>19</v>
      </c>
      <c r="H427" t="s">
        <v>38</v>
      </c>
      <c r="I427">
        <v>2</v>
      </c>
      <c r="J427">
        <v>9492.7000000000007</v>
      </c>
      <c r="K427">
        <v>0.05</v>
      </c>
      <c r="L427">
        <v>18036.13</v>
      </c>
      <c r="M427">
        <v>13187.67</v>
      </c>
      <c r="N427">
        <v>4848.46</v>
      </c>
      <c r="O427">
        <f t="shared" si="18"/>
        <v>18985.400000000001</v>
      </c>
      <c r="P427">
        <f t="shared" si="19"/>
        <v>949.2700000000001</v>
      </c>
      <c r="Q427">
        <f t="shared" si="20"/>
        <v>26.881930879850607</v>
      </c>
    </row>
    <row r="428" spans="1:17" x14ac:dyDescent="0.3">
      <c r="A428" t="s">
        <v>626</v>
      </c>
      <c r="B428" s="2">
        <v>46096</v>
      </c>
      <c r="C428" t="s">
        <v>541</v>
      </c>
      <c r="D428" t="s">
        <v>113</v>
      </c>
      <c r="E428" t="s">
        <v>17</v>
      </c>
      <c r="F428" t="s">
        <v>53</v>
      </c>
      <c r="G428" t="s">
        <v>46</v>
      </c>
      <c r="H428" t="s">
        <v>32</v>
      </c>
      <c r="I428">
        <v>7</v>
      </c>
      <c r="J428">
        <v>12742.49</v>
      </c>
      <c r="K428">
        <v>0</v>
      </c>
      <c r="L428">
        <v>89197.43</v>
      </c>
      <c r="M428">
        <v>79603.5</v>
      </c>
      <c r="N428">
        <v>9593.93</v>
      </c>
      <c r="O428">
        <f t="shared" si="18"/>
        <v>89197.43</v>
      </c>
      <c r="P428">
        <f t="shared" si="19"/>
        <v>0</v>
      </c>
      <c r="Q428">
        <f t="shared" si="20"/>
        <v>10.755836799333794</v>
      </c>
    </row>
    <row r="429" spans="1:17" x14ac:dyDescent="0.3">
      <c r="A429" t="s">
        <v>627</v>
      </c>
      <c r="B429" s="2">
        <v>46063</v>
      </c>
      <c r="C429" t="s">
        <v>131</v>
      </c>
      <c r="D429" t="s">
        <v>113</v>
      </c>
      <c r="E429" t="s">
        <v>17</v>
      </c>
      <c r="F429" t="s">
        <v>79</v>
      </c>
      <c r="G429" t="s">
        <v>31</v>
      </c>
      <c r="H429" t="s">
        <v>25</v>
      </c>
      <c r="I429">
        <v>4</v>
      </c>
      <c r="J429">
        <v>7669.68</v>
      </c>
      <c r="K429">
        <v>0</v>
      </c>
      <c r="L429">
        <v>30678.720000000001</v>
      </c>
      <c r="M429">
        <v>24790.27</v>
      </c>
      <c r="N429">
        <v>5888.45</v>
      </c>
      <c r="O429">
        <f t="shared" si="18"/>
        <v>30678.720000000001</v>
      </c>
      <c r="P429">
        <f t="shared" si="19"/>
        <v>0</v>
      </c>
      <c r="Q429">
        <f t="shared" si="20"/>
        <v>19.19392334491139</v>
      </c>
    </row>
    <row r="430" spans="1:17" x14ac:dyDescent="0.3">
      <c r="A430" t="s">
        <v>628</v>
      </c>
      <c r="B430" s="2">
        <v>46156</v>
      </c>
      <c r="C430" t="s">
        <v>149</v>
      </c>
      <c r="D430" t="s">
        <v>35</v>
      </c>
      <c r="E430" t="s">
        <v>36</v>
      </c>
      <c r="F430" t="s">
        <v>37</v>
      </c>
      <c r="G430" t="s">
        <v>31</v>
      </c>
      <c r="H430" t="s">
        <v>20</v>
      </c>
      <c r="I430">
        <v>6</v>
      </c>
      <c r="J430">
        <v>5330.84</v>
      </c>
      <c r="K430">
        <v>0</v>
      </c>
      <c r="L430">
        <v>31985.040000000001</v>
      </c>
      <c r="M430">
        <v>26466.61</v>
      </c>
      <c r="N430">
        <v>5518.43</v>
      </c>
      <c r="O430">
        <f t="shared" si="18"/>
        <v>31985.040000000001</v>
      </c>
      <c r="P430">
        <f t="shared" si="19"/>
        <v>0</v>
      </c>
      <c r="Q430">
        <f t="shared" si="20"/>
        <v>17.253159602113989</v>
      </c>
    </row>
    <row r="431" spans="1:17" x14ac:dyDescent="0.3">
      <c r="A431" t="s">
        <v>629</v>
      </c>
      <c r="B431" s="2">
        <v>46087</v>
      </c>
      <c r="C431" t="s">
        <v>379</v>
      </c>
      <c r="D431" t="s">
        <v>106</v>
      </c>
      <c r="E431" t="s">
        <v>90</v>
      </c>
      <c r="F431" t="s">
        <v>37</v>
      </c>
      <c r="G431" t="s">
        <v>31</v>
      </c>
      <c r="H431" t="s">
        <v>20</v>
      </c>
      <c r="I431">
        <v>5</v>
      </c>
      <c r="J431">
        <v>5317.22</v>
      </c>
      <c r="K431">
        <v>0.1</v>
      </c>
      <c r="L431">
        <v>23927.49</v>
      </c>
      <c r="M431">
        <v>18462.830000000002</v>
      </c>
      <c r="N431">
        <v>5464.66</v>
      </c>
      <c r="O431">
        <f t="shared" si="18"/>
        <v>26586.100000000002</v>
      </c>
      <c r="P431">
        <f t="shared" si="19"/>
        <v>2658.6100000000006</v>
      </c>
      <c r="Q431">
        <f t="shared" si="20"/>
        <v>22.838417234737111</v>
      </c>
    </row>
    <row r="432" spans="1:17" x14ac:dyDescent="0.3">
      <c r="A432" t="s">
        <v>630</v>
      </c>
      <c r="B432" s="2">
        <v>46270</v>
      </c>
      <c r="C432" t="s">
        <v>204</v>
      </c>
      <c r="D432" t="s">
        <v>113</v>
      </c>
      <c r="E432" t="s">
        <v>17</v>
      </c>
      <c r="F432" t="s">
        <v>79</v>
      </c>
      <c r="G432" t="s">
        <v>31</v>
      </c>
      <c r="H432" t="s">
        <v>38</v>
      </c>
      <c r="I432">
        <v>1</v>
      </c>
      <c r="J432">
        <v>8772.31</v>
      </c>
      <c r="K432">
        <v>0</v>
      </c>
      <c r="L432">
        <v>8772.31</v>
      </c>
      <c r="M432">
        <v>7004.05</v>
      </c>
      <c r="N432">
        <v>1768.26</v>
      </c>
      <c r="O432">
        <f t="shared" si="18"/>
        <v>8772.31</v>
      </c>
      <c r="P432">
        <f t="shared" si="19"/>
        <v>0</v>
      </c>
      <c r="Q432">
        <f t="shared" si="20"/>
        <v>20.157290383034802</v>
      </c>
    </row>
    <row r="433" spans="1:17" x14ac:dyDescent="0.3">
      <c r="A433" t="s">
        <v>631</v>
      </c>
      <c r="B433" s="2">
        <v>46029</v>
      </c>
      <c r="C433" t="s">
        <v>116</v>
      </c>
      <c r="D433" t="s">
        <v>89</v>
      </c>
      <c r="E433" t="s">
        <v>90</v>
      </c>
      <c r="F433" t="s">
        <v>41</v>
      </c>
      <c r="G433" t="s">
        <v>42</v>
      </c>
      <c r="H433" t="s">
        <v>25</v>
      </c>
      <c r="I433">
        <v>1</v>
      </c>
      <c r="J433">
        <v>16806.099999999999</v>
      </c>
      <c r="K433">
        <v>0</v>
      </c>
      <c r="L433">
        <v>16806.099999999999</v>
      </c>
      <c r="M433">
        <v>13661.9</v>
      </c>
      <c r="N433">
        <v>3144.2</v>
      </c>
      <c r="O433">
        <f t="shared" si="18"/>
        <v>16806.099999999999</v>
      </c>
      <c r="P433">
        <f t="shared" si="19"/>
        <v>0</v>
      </c>
      <c r="Q433">
        <f t="shared" si="20"/>
        <v>18.708683156710958</v>
      </c>
    </row>
    <row r="434" spans="1:17" x14ac:dyDescent="0.3">
      <c r="A434" t="s">
        <v>632</v>
      </c>
      <c r="B434" s="2">
        <v>46284</v>
      </c>
      <c r="C434" t="s">
        <v>477</v>
      </c>
      <c r="D434" t="s">
        <v>113</v>
      </c>
      <c r="E434" t="s">
        <v>17</v>
      </c>
      <c r="F434" t="s">
        <v>86</v>
      </c>
      <c r="G434" t="s">
        <v>46</v>
      </c>
      <c r="H434" t="s">
        <v>54</v>
      </c>
      <c r="I434">
        <v>3</v>
      </c>
      <c r="J434">
        <v>64921.62</v>
      </c>
      <c r="K434">
        <v>0</v>
      </c>
      <c r="L434">
        <v>194764.86</v>
      </c>
      <c r="M434">
        <v>177379.65</v>
      </c>
      <c r="N434">
        <v>17385.21</v>
      </c>
      <c r="O434">
        <f t="shared" si="18"/>
        <v>194764.86000000002</v>
      </c>
      <c r="P434">
        <f t="shared" si="19"/>
        <v>0</v>
      </c>
      <c r="Q434">
        <f t="shared" si="20"/>
        <v>8.9262559991571369</v>
      </c>
    </row>
    <row r="435" spans="1:17" x14ac:dyDescent="0.3">
      <c r="A435" t="s">
        <v>633</v>
      </c>
      <c r="B435" s="2">
        <v>46293</v>
      </c>
      <c r="C435" t="s">
        <v>562</v>
      </c>
      <c r="D435" t="s">
        <v>16</v>
      </c>
      <c r="E435" t="s">
        <v>17</v>
      </c>
      <c r="F435" t="s">
        <v>41</v>
      </c>
      <c r="G435" t="s">
        <v>42</v>
      </c>
      <c r="H435" t="s">
        <v>69</v>
      </c>
      <c r="I435">
        <v>3</v>
      </c>
      <c r="J435">
        <v>16521.240000000002</v>
      </c>
      <c r="K435">
        <v>0.05</v>
      </c>
      <c r="L435">
        <v>47085.53</v>
      </c>
      <c r="M435">
        <v>38911.72</v>
      </c>
      <c r="N435">
        <v>8173.81</v>
      </c>
      <c r="O435">
        <f t="shared" si="18"/>
        <v>49563.72</v>
      </c>
      <c r="P435">
        <f t="shared" si="19"/>
        <v>2478.1860000000001</v>
      </c>
      <c r="Q435">
        <f t="shared" si="20"/>
        <v>17.359494519866296</v>
      </c>
    </row>
    <row r="436" spans="1:17" x14ac:dyDescent="0.3">
      <c r="A436" t="s">
        <v>634</v>
      </c>
      <c r="B436" s="2">
        <v>46192</v>
      </c>
      <c r="C436" t="s">
        <v>142</v>
      </c>
      <c r="D436" t="s">
        <v>123</v>
      </c>
      <c r="E436" t="s">
        <v>90</v>
      </c>
      <c r="F436" t="s">
        <v>79</v>
      </c>
      <c r="G436" t="s">
        <v>31</v>
      </c>
      <c r="H436" t="s">
        <v>103</v>
      </c>
      <c r="I436">
        <v>7</v>
      </c>
      <c r="J436">
        <v>3403.47</v>
      </c>
      <c r="K436">
        <v>0</v>
      </c>
      <c r="L436">
        <v>23824.29</v>
      </c>
      <c r="M436">
        <v>18247.71</v>
      </c>
      <c r="N436">
        <v>5576.58</v>
      </c>
      <c r="O436">
        <f t="shared" si="18"/>
        <v>23824.289999999997</v>
      </c>
      <c r="P436">
        <f t="shared" si="19"/>
        <v>0</v>
      </c>
      <c r="Q436">
        <f t="shared" si="20"/>
        <v>23.407119372707434</v>
      </c>
    </row>
    <row r="437" spans="1:17" x14ac:dyDescent="0.3">
      <c r="A437" t="s">
        <v>635</v>
      </c>
      <c r="B437" s="2">
        <v>46085</v>
      </c>
      <c r="C437" t="s">
        <v>636</v>
      </c>
      <c r="D437" t="s">
        <v>89</v>
      </c>
      <c r="E437" t="s">
        <v>90</v>
      </c>
      <c r="F437" t="s">
        <v>41</v>
      </c>
      <c r="G437" t="s">
        <v>42</v>
      </c>
      <c r="H437" t="s">
        <v>25</v>
      </c>
      <c r="I437">
        <v>3</v>
      </c>
      <c r="J437">
        <v>6379.52</v>
      </c>
      <c r="K437">
        <v>0</v>
      </c>
      <c r="L437">
        <v>19138.560000000001</v>
      </c>
      <c r="M437">
        <v>17081.099999999999</v>
      </c>
      <c r="N437">
        <v>2057.46</v>
      </c>
      <c r="O437">
        <f t="shared" si="18"/>
        <v>19138.560000000001</v>
      </c>
      <c r="P437">
        <f t="shared" si="19"/>
        <v>0</v>
      </c>
      <c r="Q437">
        <f t="shared" si="20"/>
        <v>10.750338583467094</v>
      </c>
    </row>
    <row r="438" spans="1:17" x14ac:dyDescent="0.3">
      <c r="A438" t="s">
        <v>637</v>
      </c>
      <c r="B438" s="2">
        <v>46183</v>
      </c>
      <c r="C438" t="s">
        <v>135</v>
      </c>
      <c r="D438" t="s">
        <v>102</v>
      </c>
      <c r="E438" t="s">
        <v>29</v>
      </c>
      <c r="F438" t="s">
        <v>45</v>
      </c>
      <c r="G438" t="s">
        <v>46</v>
      </c>
      <c r="H438" t="s">
        <v>38</v>
      </c>
      <c r="I438">
        <v>7</v>
      </c>
      <c r="J438">
        <v>33610.019999999997</v>
      </c>
      <c r="K438">
        <v>0.1</v>
      </c>
      <c r="L438">
        <v>211743.13</v>
      </c>
      <c r="M438">
        <v>183696.03</v>
      </c>
      <c r="N438">
        <v>28047.1</v>
      </c>
      <c r="O438">
        <f t="shared" si="18"/>
        <v>235270.13999999998</v>
      </c>
      <c r="P438">
        <f t="shared" si="19"/>
        <v>23527.013999999999</v>
      </c>
      <c r="Q438">
        <f t="shared" si="20"/>
        <v>13.245813453310149</v>
      </c>
    </row>
    <row r="439" spans="1:17" x14ac:dyDescent="0.3">
      <c r="A439" t="s">
        <v>638</v>
      </c>
      <c r="B439" s="2">
        <v>46099</v>
      </c>
      <c r="C439" t="s">
        <v>341</v>
      </c>
      <c r="D439" t="s">
        <v>23</v>
      </c>
      <c r="E439" t="s">
        <v>24</v>
      </c>
      <c r="F439" t="s">
        <v>49</v>
      </c>
      <c r="G439" t="s">
        <v>46</v>
      </c>
      <c r="H439" t="s">
        <v>32</v>
      </c>
      <c r="I439">
        <v>1</v>
      </c>
      <c r="J439">
        <v>29269.94</v>
      </c>
      <c r="K439">
        <v>0</v>
      </c>
      <c r="L439">
        <v>29269.94</v>
      </c>
      <c r="M439">
        <v>24619.26</v>
      </c>
      <c r="N439">
        <v>4650.68</v>
      </c>
      <c r="O439">
        <f t="shared" si="18"/>
        <v>29269.94</v>
      </c>
      <c r="P439">
        <f t="shared" si="19"/>
        <v>0</v>
      </c>
      <c r="Q439">
        <f t="shared" si="20"/>
        <v>15.888929051443224</v>
      </c>
    </row>
    <row r="440" spans="1:17" x14ac:dyDescent="0.3">
      <c r="A440" t="s">
        <v>639</v>
      </c>
      <c r="B440" s="2">
        <v>46231</v>
      </c>
      <c r="C440" t="s">
        <v>66</v>
      </c>
      <c r="D440" t="s">
        <v>62</v>
      </c>
      <c r="E440" t="s">
        <v>24</v>
      </c>
      <c r="F440" t="s">
        <v>53</v>
      </c>
      <c r="G440" t="s">
        <v>46</v>
      </c>
      <c r="H440" t="s">
        <v>69</v>
      </c>
      <c r="I440">
        <v>7</v>
      </c>
      <c r="J440">
        <v>29792.69</v>
      </c>
      <c r="K440">
        <v>0</v>
      </c>
      <c r="L440">
        <v>208548.83</v>
      </c>
      <c r="M440">
        <v>180009.99</v>
      </c>
      <c r="N440">
        <v>28538.84</v>
      </c>
      <c r="O440">
        <f t="shared" si="18"/>
        <v>208548.83</v>
      </c>
      <c r="P440">
        <f t="shared" si="19"/>
        <v>0</v>
      </c>
      <c r="Q440">
        <f t="shared" si="20"/>
        <v>13.684488184373894</v>
      </c>
    </row>
    <row r="441" spans="1:17" x14ac:dyDescent="0.3">
      <c r="A441" t="s">
        <v>640</v>
      </c>
      <c r="B441" s="2">
        <v>46078</v>
      </c>
      <c r="C441" t="s">
        <v>120</v>
      </c>
      <c r="D441" t="s">
        <v>102</v>
      </c>
      <c r="E441" t="s">
        <v>29</v>
      </c>
      <c r="F441" t="s">
        <v>30</v>
      </c>
      <c r="G441" t="s">
        <v>31</v>
      </c>
      <c r="H441" t="s">
        <v>38</v>
      </c>
      <c r="I441">
        <v>2</v>
      </c>
      <c r="J441">
        <v>2527.63</v>
      </c>
      <c r="K441">
        <v>0</v>
      </c>
      <c r="L441">
        <v>5055.26</v>
      </c>
      <c r="M441">
        <v>3833.35</v>
      </c>
      <c r="N441">
        <v>1221.9100000000001</v>
      </c>
      <c r="O441">
        <f t="shared" si="18"/>
        <v>5055.26</v>
      </c>
      <c r="P441">
        <f t="shared" si="19"/>
        <v>0</v>
      </c>
      <c r="Q441">
        <f t="shared" si="20"/>
        <v>24.171061429085743</v>
      </c>
    </row>
    <row r="442" spans="1:17" x14ac:dyDescent="0.3">
      <c r="A442" t="s">
        <v>641</v>
      </c>
      <c r="B442" s="2">
        <v>46129</v>
      </c>
      <c r="C442" t="s">
        <v>190</v>
      </c>
      <c r="D442" t="s">
        <v>85</v>
      </c>
      <c r="E442" t="s">
        <v>17</v>
      </c>
      <c r="F442" t="s">
        <v>45</v>
      </c>
      <c r="G442" t="s">
        <v>46</v>
      </c>
      <c r="H442" t="s">
        <v>50</v>
      </c>
      <c r="I442">
        <v>6</v>
      </c>
      <c r="J442">
        <v>56237.16</v>
      </c>
      <c r="K442">
        <v>0.1</v>
      </c>
      <c r="L442">
        <v>303680.65999999997</v>
      </c>
      <c r="M442">
        <v>269092.62</v>
      </c>
      <c r="N442">
        <v>34588.04</v>
      </c>
      <c r="O442">
        <f t="shared" si="18"/>
        <v>337422.96</v>
      </c>
      <c r="P442">
        <f t="shared" si="19"/>
        <v>33742.296000000002</v>
      </c>
      <c r="Q442">
        <f t="shared" si="20"/>
        <v>11.389609071581971</v>
      </c>
    </row>
    <row r="443" spans="1:17" x14ac:dyDescent="0.3">
      <c r="A443" t="s">
        <v>642</v>
      </c>
      <c r="B443" s="2">
        <v>46278</v>
      </c>
      <c r="C443" t="s">
        <v>562</v>
      </c>
      <c r="D443" t="s">
        <v>126</v>
      </c>
      <c r="E443" t="s">
        <v>24</v>
      </c>
      <c r="F443" t="s">
        <v>53</v>
      </c>
      <c r="G443" t="s">
        <v>46</v>
      </c>
      <c r="H443" t="s">
        <v>69</v>
      </c>
      <c r="I443">
        <v>4</v>
      </c>
      <c r="J443">
        <v>9736.09</v>
      </c>
      <c r="K443">
        <v>0</v>
      </c>
      <c r="L443">
        <v>38944.36</v>
      </c>
      <c r="M443">
        <v>32072.86</v>
      </c>
      <c r="N443">
        <v>6871.5</v>
      </c>
      <c r="O443">
        <f t="shared" si="18"/>
        <v>38944.36</v>
      </c>
      <c r="P443">
        <f t="shared" si="19"/>
        <v>0</v>
      </c>
      <c r="Q443">
        <f t="shared" si="20"/>
        <v>17.644403451488223</v>
      </c>
    </row>
    <row r="444" spans="1:17" x14ac:dyDescent="0.3">
      <c r="A444" t="s">
        <v>643</v>
      </c>
      <c r="B444" s="2">
        <v>46124</v>
      </c>
      <c r="C444" t="s">
        <v>213</v>
      </c>
      <c r="D444" t="s">
        <v>113</v>
      </c>
      <c r="E444" t="s">
        <v>17</v>
      </c>
      <c r="F444" t="s">
        <v>30</v>
      </c>
      <c r="G444" t="s">
        <v>31</v>
      </c>
      <c r="H444" t="s">
        <v>54</v>
      </c>
      <c r="I444">
        <v>5</v>
      </c>
      <c r="J444">
        <v>1473.94</v>
      </c>
      <c r="K444">
        <v>0.1</v>
      </c>
      <c r="L444">
        <v>6632.73</v>
      </c>
      <c r="M444">
        <v>4825.12</v>
      </c>
      <c r="N444">
        <v>1807.61</v>
      </c>
      <c r="O444">
        <f t="shared" si="18"/>
        <v>7369.7000000000007</v>
      </c>
      <c r="P444">
        <f t="shared" si="19"/>
        <v>736.97000000000014</v>
      </c>
      <c r="Q444">
        <f t="shared" si="20"/>
        <v>27.252880789659763</v>
      </c>
    </row>
    <row r="445" spans="1:17" x14ac:dyDescent="0.3">
      <c r="A445" t="s">
        <v>644</v>
      </c>
      <c r="B445" s="2">
        <v>46106</v>
      </c>
      <c r="C445" t="s">
        <v>386</v>
      </c>
      <c r="D445" t="s">
        <v>106</v>
      </c>
      <c r="E445" t="s">
        <v>90</v>
      </c>
      <c r="F445" t="s">
        <v>49</v>
      </c>
      <c r="G445" t="s">
        <v>46</v>
      </c>
      <c r="H445" t="s">
        <v>25</v>
      </c>
      <c r="I445">
        <v>1</v>
      </c>
      <c r="J445">
        <v>34563.65</v>
      </c>
      <c r="K445">
        <v>0</v>
      </c>
      <c r="L445">
        <v>34563.65</v>
      </c>
      <c r="M445">
        <v>31366.65</v>
      </c>
      <c r="N445">
        <v>3197</v>
      </c>
      <c r="O445">
        <f t="shared" si="18"/>
        <v>34563.65</v>
      </c>
      <c r="P445">
        <f t="shared" si="19"/>
        <v>0</v>
      </c>
      <c r="Q445">
        <f t="shared" si="20"/>
        <v>9.2496018215668769</v>
      </c>
    </row>
    <row r="446" spans="1:17" x14ac:dyDescent="0.3">
      <c r="A446" t="s">
        <v>645</v>
      </c>
      <c r="B446" s="2">
        <v>46045</v>
      </c>
      <c r="C446" t="s">
        <v>646</v>
      </c>
      <c r="D446" t="s">
        <v>62</v>
      </c>
      <c r="E446" t="s">
        <v>24</v>
      </c>
      <c r="F446" t="s">
        <v>30</v>
      </c>
      <c r="G446" t="s">
        <v>31</v>
      </c>
      <c r="H446" t="s">
        <v>50</v>
      </c>
      <c r="I446">
        <v>2</v>
      </c>
      <c r="J446">
        <v>3918.63</v>
      </c>
      <c r="K446">
        <v>0.1</v>
      </c>
      <c r="L446">
        <v>7053.53</v>
      </c>
      <c r="M446">
        <v>5271.75</v>
      </c>
      <c r="N446">
        <v>1781.78</v>
      </c>
      <c r="O446">
        <f t="shared" si="18"/>
        <v>7837.26</v>
      </c>
      <c r="P446">
        <f t="shared" si="19"/>
        <v>783.72600000000011</v>
      </c>
      <c r="Q446">
        <f t="shared" si="20"/>
        <v>25.260826848400729</v>
      </c>
    </row>
    <row r="447" spans="1:17" x14ac:dyDescent="0.3">
      <c r="A447" t="s">
        <v>647</v>
      </c>
      <c r="B447" s="2">
        <v>46054</v>
      </c>
      <c r="C447" t="s">
        <v>648</v>
      </c>
      <c r="D447" t="s">
        <v>126</v>
      </c>
      <c r="E447" t="s">
        <v>24</v>
      </c>
      <c r="F447" t="s">
        <v>30</v>
      </c>
      <c r="G447" t="s">
        <v>31</v>
      </c>
      <c r="H447" t="s">
        <v>69</v>
      </c>
      <c r="I447">
        <v>2</v>
      </c>
      <c r="J447">
        <v>2172.3200000000002</v>
      </c>
      <c r="K447">
        <v>0</v>
      </c>
      <c r="L447">
        <v>4344.6400000000003</v>
      </c>
      <c r="M447">
        <v>3539.6</v>
      </c>
      <c r="N447">
        <v>805.04</v>
      </c>
      <c r="O447">
        <f t="shared" si="18"/>
        <v>4344.6400000000003</v>
      </c>
      <c r="P447">
        <f t="shared" si="19"/>
        <v>0</v>
      </c>
      <c r="Q447">
        <f t="shared" si="20"/>
        <v>18.529498416439566</v>
      </c>
    </row>
    <row r="448" spans="1:17" x14ac:dyDescent="0.3">
      <c r="A448" t="s">
        <v>649</v>
      </c>
      <c r="B448" s="2">
        <v>46235</v>
      </c>
      <c r="C448" t="s">
        <v>199</v>
      </c>
      <c r="D448" t="s">
        <v>108</v>
      </c>
      <c r="E448" t="s">
        <v>36</v>
      </c>
      <c r="F448" t="s">
        <v>41</v>
      </c>
      <c r="G448" t="s">
        <v>42</v>
      </c>
      <c r="H448" t="s">
        <v>20</v>
      </c>
      <c r="I448">
        <v>5</v>
      </c>
      <c r="J448">
        <v>7863.38</v>
      </c>
      <c r="K448">
        <v>0.05</v>
      </c>
      <c r="L448">
        <v>37351.06</v>
      </c>
      <c r="M448">
        <v>32747.040000000001</v>
      </c>
      <c r="N448">
        <v>4604.0200000000004</v>
      </c>
      <c r="O448">
        <f t="shared" si="18"/>
        <v>39316.9</v>
      </c>
      <c r="P448">
        <f t="shared" si="19"/>
        <v>1965.8450000000003</v>
      </c>
      <c r="Q448">
        <f t="shared" si="20"/>
        <v>12.326343616486387</v>
      </c>
    </row>
    <row r="449" spans="1:17" x14ac:dyDescent="0.3">
      <c r="A449" t="s">
        <v>650</v>
      </c>
      <c r="B449" s="2">
        <v>46109</v>
      </c>
      <c r="C449" t="s">
        <v>254</v>
      </c>
      <c r="D449" t="s">
        <v>89</v>
      </c>
      <c r="E449" t="s">
        <v>90</v>
      </c>
      <c r="F449" t="s">
        <v>57</v>
      </c>
      <c r="G449" t="s">
        <v>19</v>
      </c>
      <c r="H449" t="s">
        <v>54</v>
      </c>
      <c r="I449">
        <v>6</v>
      </c>
      <c r="J449">
        <v>12851.34</v>
      </c>
      <c r="K449">
        <v>0</v>
      </c>
      <c r="L449">
        <v>77108.039999999994</v>
      </c>
      <c r="M449">
        <v>57579.23</v>
      </c>
      <c r="N449">
        <v>19528.810000000001</v>
      </c>
      <c r="O449">
        <f t="shared" si="18"/>
        <v>77108.040000000008</v>
      </c>
      <c r="P449">
        <f t="shared" si="19"/>
        <v>0</v>
      </c>
      <c r="Q449">
        <f t="shared" si="20"/>
        <v>25.326554792470411</v>
      </c>
    </row>
    <row r="450" spans="1:17" x14ac:dyDescent="0.3">
      <c r="A450" t="s">
        <v>651</v>
      </c>
      <c r="B450" s="2">
        <v>46187</v>
      </c>
      <c r="C450" t="s">
        <v>477</v>
      </c>
      <c r="D450" t="s">
        <v>126</v>
      </c>
      <c r="E450" t="s">
        <v>24</v>
      </c>
      <c r="F450" t="s">
        <v>79</v>
      </c>
      <c r="G450" t="s">
        <v>31</v>
      </c>
      <c r="H450" t="s">
        <v>25</v>
      </c>
      <c r="I450">
        <v>7</v>
      </c>
      <c r="J450">
        <v>3679.66</v>
      </c>
      <c r="K450">
        <v>0</v>
      </c>
      <c r="L450">
        <v>25757.62</v>
      </c>
      <c r="M450">
        <v>20186.73</v>
      </c>
      <c r="N450">
        <v>5570.89</v>
      </c>
      <c r="O450">
        <f t="shared" si="18"/>
        <v>25757.62</v>
      </c>
      <c r="P450">
        <f t="shared" si="19"/>
        <v>0</v>
      </c>
      <c r="Q450">
        <f t="shared" si="20"/>
        <v>21.628124026986967</v>
      </c>
    </row>
    <row r="451" spans="1:17" x14ac:dyDescent="0.3">
      <c r="A451" t="s">
        <v>652</v>
      </c>
      <c r="B451" s="2">
        <v>46156</v>
      </c>
      <c r="C451" t="s">
        <v>166</v>
      </c>
      <c r="D451" t="s">
        <v>28</v>
      </c>
      <c r="E451" t="s">
        <v>29</v>
      </c>
      <c r="F451" t="s">
        <v>45</v>
      </c>
      <c r="G451" t="s">
        <v>46</v>
      </c>
      <c r="H451" t="s">
        <v>25</v>
      </c>
      <c r="I451">
        <v>6</v>
      </c>
      <c r="J451">
        <v>29839.33</v>
      </c>
      <c r="K451">
        <v>0</v>
      </c>
      <c r="L451">
        <v>179035.98</v>
      </c>
      <c r="M451">
        <v>167985.59</v>
      </c>
      <c r="N451">
        <v>11050.39</v>
      </c>
      <c r="O451">
        <f t="shared" ref="O451:O501" si="21">I451*J451</f>
        <v>179035.98</v>
      </c>
      <c r="P451">
        <f t="shared" ref="P451:P501" si="22">O451*K451</f>
        <v>0</v>
      </c>
      <c r="Q451">
        <f t="shared" ref="Q451:Q501" si="23">N451/L451*100</f>
        <v>6.1721615956747904</v>
      </c>
    </row>
    <row r="452" spans="1:17" x14ac:dyDescent="0.3">
      <c r="A452" t="s">
        <v>653</v>
      </c>
      <c r="B452" s="2">
        <v>46137</v>
      </c>
      <c r="C452" t="s">
        <v>142</v>
      </c>
      <c r="D452" t="s">
        <v>16</v>
      </c>
      <c r="E452" t="s">
        <v>17</v>
      </c>
      <c r="F452" t="s">
        <v>45</v>
      </c>
      <c r="G452" t="s">
        <v>46</v>
      </c>
      <c r="H452" t="s">
        <v>50</v>
      </c>
      <c r="I452">
        <v>4</v>
      </c>
      <c r="J452">
        <v>40961.230000000003</v>
      </c>
      <c r="K452">
        <v>0</v>
      </c>
      <c r="L452">
        <v>163844.92000000001</v>
      </c>
      <c r="M452">
        <v>151552.65</v>
      </c>
      <c r="N452">
        <v>12292.27</v>
      </c>
      <c r="O452">
        <f t="shared" si="21"/>
        <v>163844.92000000001</v>
      </c>
      <c r="P452">
        <f t="shared" si="22"/>
        <v>0</v>
      </c>
      <c r="Q452">
        <f t="shared" si="23"/>
        <v>7.5023809099482603</v>
      </c>
    </row>
    <row r="453" spans="1:17" x14ac:dyDescent="0.3">
      <c r="A453" t="s">
        <v>654</v>
      </c>
      <c r="B453" s="2">
        <v>46149</v>
      </c>
      <c r="C453" t="s">
        <v>245</v>
      </c>
      <c r="D453" t="s">
        <v>106</v>
      </c>
      <c r="E453" t="s">
        <v>90</v>
      </c>
      <c r="F453" t="s">
        <v>53</v>
      </c>
      <c r="G453" t="s">
        <v>46</v>
      </c>
      <c r="H453" t="s">
        <v>54</v>
      </c>
      <c r="I453">
        <v>4</v>
      </c>
      <c r="J453">
        <v>14708.4</v>
      </c>
      <c r="K453">
        <v>0.05</v>
      </c>
      <c r="L453">
        <v>55891.92</v>
      </c>
      <c r="M453">
        <v>44790.41</v>
      </c>
      <c r="N453">
        <v>11101.51</v>
      </c>
      <c r="O453">
        <f t="shared" si="21"/>
        <v>58833.599999999999</v>
      </c>
      <c r="P453">
        <f t="shared" si="22"/>
        <v>2941.6800000000003</v>
      </c>
      <c r="Q453">
        <f t="shared" si="23"/>
        <v>19.862459546925567</v>
      </c>
    </row>
    <row r="454" spans="1:17" x14ac:dyDescent="0.3">
      <c r="A454" t="s">
        <v>655</v>
      </c>
      <c r="B454" s="2">
        <v>46041</v>
      </c>
      <c r="C454" t="s">
        <v>656</v>
      </c>
      <c r="D454" t="s">
        <v>106</v>
      </c>
      <c r="E454" t="s">
        <v>90</v>
      </c>
      <c r="F454" t="s">
        <v>37</v>
      </c>
      <c r="G454" t="s">
        <v>31</v>
      </c>
      <c r="H454" t="s">
        <v>50</v>
      </c>
      <c r="I454">
        <v>2</v>
      </c>
      <c r="J454">
        <v>5000.8500000000004</v>
      </c>
      <c r="K454">
        <v>0</v>
      </c>
      <c r="L454">
        <v>10001.700000000001</v>
      </c>
      <c r="M454">
        <v>8001.22</v>
      </c>
      <c r="N454">
        <v>2000.48</v>
      </c>
      <c r="O454">
        <f t="shared" si="21"/>
        <v>10001.700000000001</v>
      </c>
      <c r="P454">
        <f t="shared" si="22"/>
        <v>0</v>
      </c>
      <c r="Q454">
        <f t="shared" si="23"/>
        <v>20.001399762040453</v>
      </c>
    </row>
    <row r="455" spans="1:17" x14ac:dyDescent="0.3">
      <c r="A455" t="s">
        <v>657</v>
      </c>
      <c r="B455" s="2">
        <v>46115</v>
      </c>
      <c r="C455" t="s">
        <v>365</v>
      </c>
      <c r="D455" t="s">
        <v>35</v>
      </c>
      <c r="E455" t="s">
        <v>36</v>
      </c>
      <c r="F455" t="s">
        <v>86</v>
      </c>
      <c r="G455" t="s">
        <v>46</v>
      </c>
      <c r="H455" t="s">
        <v>69</v>
      </c>
      <c r="I455">
        <v>5</v>
      </c>
      <c r="J455">
        <v>64828.15</v>
      </c>
      <c r="K455">
        <v>0</v>
      </c>
      <c r="L455">
        <v>324140.75</v>
      </c>
      <c r="M455">
        <v>293579.40000000002</v>
      </c>
      <c r="N455">
        <v>30561.35</v>
      </c>
      <c r="O455">
        <f t="shared" si="21"/>
        <v>324140.75</v>
      </c>
      <c r="P455">
        <f t="shared" si="22"/>
        <v>0</v>
      </c>
      <c r="Q455">
        <f t="shared" si="23"/>
        <v>9.428419598584874</v>
      </c>
    </row>
    <row r="456" spans="1:17" x14ac:dyDescent="0.3">
      <c r="A456" t="s">
        <v>658</v>
      </c>
      <c r="B456" s="2">
        <v>46093</v>
      </c>
      <c r="C456" t="s">
        <v>131</v>
      </c>
      <c r="D456" t="s">
        <v>108</v>
      </c>
      <c r="E456" t="s">
        <v>36</v>
      </c>
      <c r="F456" t="s">
        <v>30</v>
      </c>
      <c r="G456" t="s">
        <v>31</v>
      </c>
      <c r="H456" t="s">
        <v>69</v>
      </c>
      <c r="I456">
        <v>3</v>
      </c>
      <c r="J456">
        <v>4012.16</v>
      </c>
      <c r="K456">
        <v>0</v>
      </c>
      <c r="L456">
        <v>12036.48</v>
      </c>
      <c r="M456">
        <v>9436.42</v>
      </c>
      <c r="N456">
        <v>2600.06</v>
      </c>
      <c r="O456">
        <f t="shared" si="21"/>
        <v>12036.48</v>
      </c>
      <c r="P456">
        <f t="shared" si="22"/>
        <v>0</v>
      </c>
      <c r="Q456">
        <f t="shared" si="23"/>
        <v>21.601498112404958</v>
      </c>
    </row>
    <row r="457" spans="1:17" x14ac:dyDescent="0.3">
      <c r="A457" t="s">
        <v>659</v>
      </c>
      <c r="B457" s="2">
        <v>46263</v>
      </c>
      <c r="C457" t="s">
        <v>277</v>
      </c>
      <c r="D457" t="s">
        <v>145</v>
      </c>
      <c r="E457" t="s">
        <v>36</v>
      </c>
      <c r="F457" t="s">
        <v>86</v>
      </c>
      <c r="G457" t="s">
        <v>46</v>
      </c>
      <c r="H457" t="s">
        <v>32</v>
      </c>
      <c r="I457">
        <v>3</v>
      </c>
      <c r="J457">
        <v>79292.36</v>
      </c>
      <c r="K457">
        <v>0.05</v>
      </c>
      <c r="L457">
        <v>225983.23</v>
      </c>
      <c r="M457">
        <v>195234.18</v>
      </c>
      <c r="N457">
        <v>30749.05</v>
      </c>
      <c r="O457">
        <f t="shared" si="21"/>
        <v>237877.08000000002</v>
      </c>
      <c r="P457">
        <f t="shared" si="22"/>
        <v>11893.854000000001</v>
      </c>
      <c r="Q457">
        <f t="shared" si="23"/>
        <v>13.606784007822172</v>
      </c>
    </row>
    <row r="458" spans="1:17" x14ac:dyDescent="0.3">
      <c r="A458" t="s">
        <v>660</v>
      </c>
      <c r="B458" s="2">
        <v>46166</v>
      </c>
      <c r="C458" t="s">
        <v>252</v>
      </c>
      <c r="D458" t="s">
        <v>62</v>
      </c>
      <c r="E458" t="s">
        <v>24</v>
      </c>
      <c r="F458" t="s">
        <v>53</v>
      </c>
      <c r="G458" t="s">
        <v>46</v>
      </c>
      <c r="H458" t="s">
        <v>32</v>
      </c>
      <c r="I458">
        <v>1</v>
      </c>
      <c r="J458">
        <v>27809.54</v>
      </c>
      <c r="K458">
        <v>0.05</v>
      </c>
      <c r="L458">
        <v>26419.06</v>
      </c>
      <c r="M458">
        <v>21467.68</v>
      </c>
      <c r="N458">
        <v>4951.38</v>
      </c>
      <c r="O458">
        <f t="shared" si="21"/>
        <v>27809.54</v>
      </c>
      <c r="P458">
        <f t="shared" si="22"/>
        <v>1390.4770000000001</v>
      </c>
      <c r="Q458">
        <f t="shared" si="23"/>
        <v>18.74169633590294</v>
      </c>
    </row>
    <row r="459" spans="1:17" x14ac:dyDescent="0.3">
      <c r="A459" t="s">
        <v>661</v>
      </c>
      <c r="B459" s="2">
        <v>46140</v>
      </c>
      <c r="C459" t="s">
        <v>59</v>
      </c>
      <c r="D459" t="s">
        <v>62</v>
      </c>
      <c r="E459" t="s">
        <v>24</v>
      </c>
      <c r="F459" t="s">
        <v>57</v>
      </c>
      <c r="G459" t="s">
        <v>19</v>
      </c>
      <c r="H459" t="s">
        <v>32</v>
      </c>
      <c r="I459">
        <v>3</v>
      </c>
      <c r="J459">
        <v>12672</v>
      </c>
      <c r="K459">
        <v>0.1</v>
      </c>
      <c r="L459">
        <v>34214.400000000001</v>
      </c>
      <c r="M459">
        <v>26394.76</v>
      </c>
      <c r="N459">
        <v>7819.64</v>
      </c>
      <c r="O459">
        <f t="shared" si="21"/>
        <v>38016</v>
      </c>
      <c r="P459">
        <f t="shared" si="22"/>
        <v>3801.6000000000004</v>
      </c>
      <c r="Q459">
        <f t="shared" si="23"/>
        <v>22.854821361765808</v>
      </c>
    </row>
    <row r="460" spans="1:17" x14ac:dyDescent="0.3">
      <c r="A460" t="s">
        <v>662</v>
      </c>
      <c r="B460" s="2">
        <v>46161</v>
      </c>
      <c r="C460" t="s">
        <v>347</v>
      </c>
      <c r="D460" t="s">
        <v>85</v>
      </c>
      <c r="E460" t="s">
        <v>17</v>
      </c>
      <c r="F460" t="s">
        <v>41</v>
      </c>
      <c r="G460" t="s">
        <v>42</v>
      </c>
      <c r="H460" t="s">
        <v>50</v>
      </c>
      <c r="I460">
        <v>3</v>
      </c>
      <c r="J460">
        <v>25284.9</v>
      </c>
      <c r="K460">
        <v>0</v>
      </c>
      <c r="L460">
        <v>75854.7</v>
      </c>
      <c r="M460">
        <v>66376.289999999994</v>
      </c>
      <c r="N460">
        <v>9478.41</v>
      </c>
      <c r="O460">
        <f t="shared" si="21"/>
        <v>75854.700000000012</v>
      </c>
      <c r="P460">
        <f t="shared" si="22"/>
        <v>0</v>
      </c>
      <c r="Q460">
        <f t="shared" si="23"/>
        <v>12.495481492906833</v>
      </c>
    </row>
    <row r="461" spans="1:17" x14ac:dyDescent="0.3">
      <c r="A461" t="s">
        <v>663</v>
      </c>
      <c r="B461" s="2">
        <v>46028</v>
      </c>
      <c r="C461" t="s">
        <v>56</v>
      </c>
      <c r="D461" t="s">
        <v>28</v>
      </c>
      <c r="E461" t="s">
        <v>29</v>
      </c>
      <c r="F461" t="s">
        <v>41</v>
      </c>
      <c r="G461" t="s">
        <v>42</v>
      </c>
      <c r="H461" t="s">
        <v>25</v>
      </c>
      <c r="I461">
        <v>7</v>
      </c>
      <c r="J461">
        <v>23833.96</v>
      </c>
      <c r="K461">
        <v>0</v>
      </c>
      <c r="L461">
        <v>166837.72</v>
      </c>
      <c r="M461">
        <v>137174.28</v>
      </c>
      <c r="N461">
        <v>29663.439999999999</v>
      </c>
      <c r="O461">
        <f t="shared" si="21"/>
        <v>166837.72</v>
      </c>
      <c r="P461">
        <f t="shared" si="22"/>
        <v>0</v>
      </c>
      <c r="Q461">
        <f t="shared" si="23"/>
        <v>17.779816219018095</v>
      </c>
    </row>
    <row r="462" spans="1:17" x14ac:dyDescent="0.3">
      <c r="A462" t="s">
        <v>664</v>
      </c>
      <c r="B462" s="2">
        <v>46067</v>
      </c>
      <c r="C462" t="s">
        <v>179</v>
      </c>
      <c r="D462" t="s">
        <v>113</v>
      </c>
      <c r="E462" t="s">
        <v>17</v>
      </c>
      <c r="F462" t="s">
        <v>79</v>
      </c>
      <c r="G462" t="s">
        <v>31</v>
      </c>
      <c r="H462" t="s">
        <v>50</v>
      </c>
      <c r="I462">
        <v>3</v>
      </c>
      <c r="J462">
        <v>11969.57</v>
      </c>
      <c r="K462">
        <v>0</v>
      </c>
      <c r="L462">
        <v>35908.71</v>
      </c>
      <c r="M462">
        <v>29515.87</v>
      </c>
      <c r="N462">
        <v>6392.84</v>
      </c>
      <c r="O462">
        <f t="shared" si="21"/>
        <v>35908.71</v>
      </c>
      <c r="P462">
        <f t="shared" si="22"/>
        <v>0</v>
      </c>
      <c r="Q462">
        <f t="shared" si="23"/>
        <v>17.803034416997992</v>
      </c>
    </row>
    <row r="463" spans="1:17" x14ac:dyDescent="0.3">
      <c r="A463" t="s">
        <v>665</v>
      </c>
      <c r="B463" s="2">
        <v>46228</v>
      </c>
      <c r="C463" t="s">
        <v>463</v>
      </c>
      <c r="D463" t="s">
        <v>23</v>
      </c>
      <c r="E463" t="s">
        <v>24</v>
      </c>
      <c r="F463" t="s">
        <v>57</v>
      </c>
      <c r="G463" t="s">
        <v>19</v>
      </c>
      <c r="H463" t="s">
        <v>103</v>
      </c>
      <c r="I463">
        <v>3</v>
      </c>
      <c r="J463">
        <v>11282.76</v>
      </c>
      <c r="K463">
        <v>0</v>
      </c>
      <c r="L463">
        <v>33848.28</v>
      </c>
      <c r="M463">
        <v>27571.51</v>
      </c>
      <c r="N463">
        <v>6276.77</v>
      </c>
      <c r="O463">
        <f t="shared" si="21"/>
        <v>33848.28</v>
      </c>
      <c r="P463">
        <f t="shared" si="22"/>
        <v>0</v>
      </c>
      <c r="Q463">
        <f t="shared" si="23"/>
        <v>18.543837382578968</v>
      </c>
    </row>
    <row r="464" spans="1:17" x14ac:dyDescent="0.3">
      <c r="A464" t="s">
        <v>666</v>
      </c>
      <c r="B464" s="2">
        <v>46257</v>
      </c>
      <c r="C464" t="s">
        <v>379</v>
      </c>
      <c r="D464" t="s">
        <v>123</v>
      </c>
      <c r="E464" t="s">
        <v>90</v>
      </c>
      <c r="F464" t="s">
        <v>86</v>
      </c>
      <c r="G464" t="s">
        <v>46</v>
      </c>
      <c r="H464" t="s">
        <v>69</v>
      </c>
      <c r="I464">
        <v>7</v>
      </c>
      <c r="J464">
        <v>59929.65</v>
      </c>
      <c r="K464">
        <v>0.1</v>
      </c>
      <c r="L464">
        <v>377556.8</v>
      </c>
      <c r="M464">
        <v>318174.31</v>
      </c>
      <c r="N464">
        <v>59382.49</v>
      </c>
      <c r="O464">
        <f t="shared" si="21"/>
        <v>419507.55</v>
      </c>
      <c r="P464">
        <f t="shared" si="22"/>
        <v>41950.755000000005</v>
      </c>
      <c r="Q464">
        <f t="shared" si="23"/>
        <v>15.728094421819444</v>
      </c>
    </row>
    <row r="465" spans="1:17" x14ac:dyDescent="0.3">
      <c r="A465" t="s">
        <v>667</v>
      </c>
      <c r="B465" s="2">
        <v>46158</v>
      </c>
      <c r="C465" t="s">
        <v>133</v>
      </c>
      <c r="D465" t="s">
        <v>62</v>
      </c>
      <c r="E465" t="s">
        <v>24</v>
      </c>
      <c r="F465" t="s">
        <v>37</v>
      </c>
      <c r="G465" t="s">
        <v>31</v>
      </c>
      <c r="H465" t="s">
        <v>20</v>
      </c>
      <c r="I465">
        <v>5</v>
      </c>
      <c r="J465">
        <v>6158.28</v>
      </c>
      <c r="K465">
        <v>0</v>
      </c>
      <c r="L465">
        <v>30791.4</v>
      </c>
      <c r="M465">
        <v>23977.360000000001</v>
      </c>
      <c r="N465">
        <v>6814.04</v>
      </c>
      <c r="O465">
        <f t="shared" si="21"/>
        <v>30791.399999999998</v>
      </c>
      <c r="P465">
        <f t="shared" si="22"/>
        <v>0</v>
      </c>
      <c r="Q465">
        <f t="shared" si="23"/>
        <v>22.1296855615529</v>
      </c>
    </row>
    <row r="466" spans="1:17" x14ac:dyDescent="0.3">
      <c r="A466" t="s">
        <v>668</v>
      </c>
      <c r="B466" s="2">
        <v>46233</v>
      </c>
      <c r="C466" t="s">
        <v>182</v>
      </c>
      <c r="D466" t="s">
        <v>28</v>
      </c>
      <c r="E466" t="s">
        <v>29</v>
      </c>
      <c r="F466" t="s">
        <v>57</v>
      </c>
      <c r="G466" t="s">
        <v>19</v>
      </c>
      <c r="H466" t="s">
        <v>103</v>
      </c>
      <c r="I466">
        <v>7</v>
      </c>
      <c r="J466">
        <v>16262.23</v>
      </c>
      <c r="K466">
        <v>0.1</v>
      </c>
      <c r="L466">
        <v>102452.05</v>
      </c>
      <c r="M466">
        <v>74790.27</v>
      </c>
      <c r="N466">
        <v>27661.78</v>
      </c>
      <c r="O466">
        <f t="shared" si="21"/>
        <v>113835.61</v>
      </c>
      <c r="P466">
        <f t="shared" si="22"/>
        <v>11383.561000000002</v>
      </c>
      <c r="Q466">
        <f t="shared" si="23"/>
        <v>26.999733045849251</v>
      </c>
    </row>
    <row r="467" spans="1:17" x14ac:dyDescent="0.3">
      <c r="A467" t="s">
        <v>669</v>
      </c>
      <c r="B467" s="2">
        <v>46237</v>
      </c>
      <c r="C467" t="s">
        <v>76</v>
      </c>
      <c r="D467" t="s">
        <v>35</v>
      </c>
      <c r="E467" t="s">
        <v>36</v>
      </c>
      <c r="F467" t="s">
        <v>49</v>
      </c>
      <c r="G467" t="s">
        <v>46</v>
      </c>
      <c r="H467" t="s">
        <v>25</v>
      </c>
      <c r="I467">
        <v>2</v>
      </c>
      <c r="J467">
        <v>24128.57</v>
      </c>
      <c r="K467">
        <v>0.1</v>
      </c>
      <c r="L467">
        <v>43431.43</v>
      </c>
      <c r="M467">
        <v>38128.769999999997</v>
      </c>
      <c r="N467">
        <v>5302.66</v>
      </c>
      <c r="O467">
        <f t="shared" si="21"/>
        <v>48257.14</v>
      </c>
      <c r="P467">
        <f t="shared" si="22"/>
        <v>4825.7139999999999</v>
      </c>
      <c r="Q467">
        <f t="shared" si="23"/>
        <v>12.209268725436855</v>
      </c>
    </row>
    <row r="468" spans="1:17" x14ac:dyDescent="0.3">
      <c r="A468" t="s">
        <v>670</v>
      </c>
      <c r="B468" s="2">
        <v>46192</v>
      </c>
      <c r="C468" t="s">
        <v>270</v>
      </c>
      <c r="D468" t="s">
        <v>108</v>
      </c>
      <c r="E468" t="s">
        <v>36</v>
      </c>
      <c r="F468" t="s">
        <v>53</v>
      </c>
      <c r="G468" t="s">
        <v>46</v>
      </c>
      <c r="H468" t="s">
        <v>50</v>
      </c>
      <c r="I468">
        <v>3</v>
      </c>
      <c r="J468">
        <v>19041.509999999998</v>
      </c>
      <c r="K468">
        <v>0</v>
      </c>
      <c r="L468">
        <v>57124.53</v>
      </c>
      <c r="M468">
        <v>47985.91</v>
      </c>
      <c r="N468">
        <v>9138.6200000000008</v>
      </c>
      <c r="O468">
        <f t="shared" si="21"/>
        <v>57124.53</v>
      </c>
      <c r="P468">
        <f t="shared" si="22"/>
        <v>0</v>
      </c>
      <c r="Q468">
        <f t="shared" si="23"/>
        <v>15.997715867421579</v>
      </c>
    </row>
    <row r="469" spans="1:17" x14ac:dyDescent="0.3">
      <c r="A469" t="s">
        <v>671</v>
      </c>
      <c r="B469" s="2">
        <v>46244</v>
      </c>
      <c r="C469" t="s">
        <v>99</v>
      </c>
      <c r="D469" t="s">
        <v>28</v>
      </c>
      <c r="E469" t="s">
        <v>29</v>
      </c>
      <c r="F469" t="s">
        <v>37</v>
      </c>
      <c r="G469" t="s">
        <v>31</v>
      </c>
      <c r="H469" t="s">
        <v>32</v>
      </c>
      <c r="I469">
        <v>7</v>
      </c>
      <c r="J469">
        <v>5810.01</v>
      </c>
      <c r="K469">
        <v>0.05</v>
      </c>
      <c r="L469">
        <v>38636.57</v>
      </c>
      <c r="M469">
        <v>30516.7</v>
      </c>
      <c r="N469">
        <v>8119.87</v>
      </c>
      <c r="O469">
        <f t="shared" si="21"/>
        <v>40670.07</v>
      </c>
      <c r="P469">
        <f t="shared" si="22"/>
        <v>2033.5035</v>
      </c>
      <c r="Q469">
        <f t="shared" si="23"/>
        <v>21.016021867365556</v>
      </c>
    </row>
    <row r="470" spans="1:17" x14ac:dyDescent="0.3">
      <c r="A470" t="s">
        <v>672</v>
      </c>
      <c r="B470" s="2">
        <v>46168</v>
      </c>
      <c r="C470" t="s">
        <v>636</v>
      </c>
      <c r="D470" t="s">
        <v>145</v>
      </c>
      <c r="E470" t="s">
        <v>36</v>
      </c>
      <c r="F470" t="s">
        <v>86</v>
      </c>
      <c r="G470" t="s">
        <v>46</v>
      </c>
      <c r="H470" t="s">
        <v>69</v>
      </c>
      <c r="I470">
        <v>6</v>
      </c>
      <c r="J470">
        <v>55877.84</v>
      </c>
      <c r="K470">
        <v>0.05</v>
      </c>
      <c r="L470">
        <v>318503.69</v>
      </c>
      <c r="M470">
        <v>272742.3</v>
      </c>
      <c r="N470">
        <v>45761.39</v>
      </c>
      <c r="O470">
        <f t="shared" si="21"/>
        <v>335267.03999999998</v>
      </c>
      <c r="P470">
        <f t="shared" si="22"/>
        <v>16763.351999999999</v>
      </c>
      <c r="Q470">
        <f t="shared" si="23"/>
        <v>14.367616902648757</v>
      </c>
    </row>
    <row r="471" spans="1:17" x14ac:dyDescent="0.3">
      <c r="A471" t="s">
        <v>673</v>
      </c>
      <c r="B471" s="2">
        <v>46195</v>
      </c>
      <c r="C471" t="s">
        <v>285</v>
      </c>
      <c r="D471" t="s">
        <v>28</v>
      </c>
      <c r="E471" t="s">
        <v>29</v>
      </c>
      <c r="F471" t="s">
        <v>30</v>
      </c>
      <c r="G471" t="s">
        <v>31</v>
      </c>
      <c r="H471" t="s">
        <v>54</v>
      </c>
      <c r="I471">
        <v>5</v>
      </c>
      <c r="J471">
        <v>3717.49</v>
      </c>
      <c r="K471">
        <v>0.05</v>
      </c>
      <c r="L471">
        <v>17658.080000000002</v>
      </c>
      <c r="M471">
        <v>13118.37</v>
      </c>
      <c r="N471">
        <v>4539.71</v>
      </c>
      <c r="O471">
        <f t="shared" si="21"/>
        <v>18587.449999999997</v>
      </c>
      <c r="P471">
        <f t="shared" si="22"/>
        <v>929.37249999999995</v>
      </c>
      <c r="Q471">
        <f t="shared" si="23"/>
        <v>25.708967226334913</v>
      </c>
    </row>
    <row r="472" spans="1:17" x14ac:dyDescent="0.3">
      <c r="A472" t="s">
        <v>674</v>
      </c>
      <c r="B472" s="2">
        <v>46229</v>
      </c>
      <c r="C472" t="s">
        <v>162</v>
      </c>
      <c r="D472" t="s">
        <v>16</v>
      </c>
      <c r="E472" t="s">
        <v>17</v>
      </c>
      <c r="F472" t="s">
        <v>57</v>
      </c>
      <c r="G472" t="s">
        <v>19</v>
      </c>
      <c r="H472" t="s">
        <v>103</v>
      </c>
      <c r="I472">
        <v>4</v>
      </c>
      <c r="J472">
        <v>21716.2</v>
      </c>
      <c r="K472">
        <v>0.1</v>
      </c>
      <c r="L472">
        <v>78178.320000000007</v>
      </c>
      <c r="M472">
        <v>57090.45</v>
      </c>
      <c r="N472">
        <v>21087.87</v>
      </c>
      <c r="O472">
        <f t="shared" si="21"/>
        <v>86864.8</v>
      </c>
      <c r="P472">
        <f t="shared" si="22"/>
        <v>8686.4800000000014</v>
      </c>
      <c r="Q472">
        <f t="shared" si="23"/>
        <v>26.974063909278168</v>
      </c>
    </row>
    <row r="473" spans="1:17" x14ac:dyDescent="0.3">
      <c r="A473" t="s">
        <v>675</v>
      </c>
      <c r="B473" s="2">
        <v>46279</v>
      </c>
      <c r="C473" t="s">
        <v>399</v>
      </c>
      <c r="D473" t="s">
        <v>85</v>
      </c>
      <c r="E473" t="s">
        <v>17</v>
      </c>
      <c r="F473" t="s">
        <v>53</v>
      </c>
      <c r="G473" t="s">
        <v>46</v>
      </c>
      <c r="H473" t="s">
        <v>103</v>
      </c>
      <c r="I473">
        <v>5</v>
      </c>
      <c r="J473">
        <v>9875.59</v>
      </c>
      <c r="K473">
        <v>0.1</v>
      </c>
      <c r="L473">
        <v>44440.160000000003</v>
      </c>
      <c r="M473">
        <v>36332.82</v>
      </c>
      <c r="N473">
        <v>8107.34</v>
      </c>
      <c r="O473">
        <f t="shared" si="21"/>
        <v>49377.95</v>
      </c>
      <c r="P473">
        <f t="shared" si="22"/>
        <v>4937.7950000000001</v>
      </c>
      <c r="Q473">
        <f t="shared" si="23"/>
        <v>18.243273651580012</v>
      </c>
    </row>
    <row r="474" spans="1:17" x14ac:dyDescent="0.3">
      <c r="A474" t="s">
        <v>676</v>
      </c>
      <c r="B474" s="2">
        <v>46200</v>
      </c>
      <c r="C474" t="s">
        <v>95</v>
      </c>
      <c r="D474" t="s">
        <v>113</v>
      </c>
      <c r="E474" t="s">
        <v>17</v>
      </c>
      <c r="F474" t="s">
        <v>41</v>
      </c>
      <c r="G474" t="s">
        <v>42</v>
      </c>
      <c r="H474" t="s">
        <v>20</v>
      </c>
      <c r="I474">
        <v>3</v>
      </c>
      <c r="J474">
        <v>27550.06</v>
      </c>
      <c r="K474">
        <v>0.05</v>
      </c>
      <c r="L474">
        <v>78517.67</v>
      </c>
      <c r="M474">
        <v>63729.07</v>
      </c>
      <c r="N474">
        <v>14788.6</v>
      </c>
      <c r="O474">
        <f t="shared" si="21"/>
        <v>82650.180000000008</v>
      </c>
      <c r="P474">
        <f t="shared" si="22"/>
        <v>4132.5090000000009</v>
      </c>
      <c r="Q474">
        <f t="shared" si="23"/>
        <v>18.834741275435199</v>
      </c>
    </row>
    <row r="475" spans="1:17" x14ac:dyDescent="0.3">
      <c r="A475" t="s">
        <v>677</v>
      </c>
      <c r="B475" s="2">
        <v>46252</v>
      </c>
      <c r="C475" t="s">
        <v>328</v>
      </c>
      <c r="D475" t="s">
        <v>123</v>
      </c>
      <c r="E475" t="s">
        <v>90</v>
      </c>
      <c r="F475" t="s">
        <v>45</v>
      </c>
      <c r="G475" t="s">
        <v>46</v>
      </c>
      <c r="H475" t="s">
        <v>38</v>
      </c>
      <c r="I475">
        <v>1</v>
      </c>
      <c r="J475">
        <v>52400.24</v>
      </c>
      <c r="K475">
        <v>0.05</v>
      </c>
      <c r="L475">
        <v>49780.23</v>
      </c>
      <c r="M475">
        <v>46492.09</v>
      </c>
      <c r="N475">
        <v>3288.14</v>
      </c>
      <c r="O475">
        <f t="shared" si="21"/>
        <v>52400.24</v>
      </c>
      <c r="P475">
        <f t="shared" si="22"/>
        <v>2620.0120000000002</v>
      </c>
      <c r="Q475">
        <f t="shared" si="23"/>
        <v>6.6053129927282361</v>
      </c>
    </row>
    <row r="476" spans="1:17" x14ac:dyDescent="0.3">
      <c r="A476" t="s">
        <v>678</v>
      </c>
      <c r="B476" s="2">
        <v>46162</v>
      </c>
      <c r="C476" t="s">
        <v>296</v>
      </c>
      <c r="D476" t="s">
        <v>102</v>
      </c>
      <c r="E476" t="s">
        <v>29</v>
      </c>
      <c r="F476" t="s">
        <v>37</v>
      </c>
      <c r="G476" t="s">
        <v>31</v>
      </c>
      <c r="H476" t="s">
        <v>69</v>
      </c>
      <c r="I476">
        <v>3</v>
      </c>
      <c r="J476">
        <v>1548.61</v>
      </c>
      <c r="K476">
        <v>0</v>
      </c>
      <c r="L476">
        <v>4645.83</v>
      </c>
      <c r="M476">
        <v>3972.92</v>
      </c>
      <c r="N476">
        <v>672.91</v>
      </c>
      <c r="O476">
        <f t="shared" si="21"/>
        <v>4645.83</v>
      </c>
      <c r="P476">
        <f t="shared" si="22"/>
        <v>0</v>
      </c>
      <c r="Q476">
        <f t="shared" si="23"/>
        <v>14.484171827208487</v>
      </c>
    </row>
    <row r="477" spans="1:17" x14ac:dyDescent="0.3">
      <c r="A477" t="s">
        <v>679</v>
      </c>
      <c r="B477" s="2">
        <v>46209</v>
      </c>
      <c r="C477" t="s">
        <v>264</v>
      </c>
      <c r="D477" t="s">
        <v>85</v>
      </c>
      <c r="E477" t="s">
        <v>17</v>
      </c>
      <c r="F477" t="s">
        <v>49</v>
      </c>
      <c r="G477" t="s">
        <v>46</v>
      </c>
      <c r="H477" t="s">
        <v>50</v>
      </c>
      <c r="I477">
        <v>6</v>
      </c>
      <c r="J477">
        <v>23368.33</v>
      </c>
      <c r="K477">
        <v>0</v>
      </c>
      <c r="L477">
        <v>140209.98000000001</v>
      </c>
      <c r="M477">
        <v>122138.21</v>
      </c>
      <c r="N477">
        <v>18071.77</v>
      </c>
      <c r="O477">
        <f t="shared" si="21"/>
        <v>140209.98000000001</v>
      </c>
      <c r="P477">
        <f t="shared" si="22"/>
        <v>0</v>
      </c>
      <c r="Q477">
        <f t="shared" si="23"/>
        <v>12.889075371096977</v>
      </c>
    </row>
    <row r="478" spans="1:17" x14ac:dyDescent="0.3">
      <c r="A478" t="s">
        <v>680</v>
      </c>
      <c r="B478" s="2">
        <v>46188</v>
      </c>
      <c r="C478" t="s">
        <v>133</v>
      </c>
      <c r="D478" t="s">
        <v>35</v>
      </c>
      <c r="E478" t="s">
        <v>36</v>
      </c>
      <c r="F478" t="s">
        <v>18</v>
      </c>
      <c r="G478" t="s">
        <v>19</v>
      </c>
      <c r="H478" t="s">
        <v>32</v>
      </c>
      <c r="I478">
        <v>4</v>
      </c>
      <c r="J478">
        <v>20098.599999999999</v>
      </c>
      <c r="K478">
        <v>0</v>
      </c>
      <c r="L478">
        <v>80394.399999999994</v>
      </c>
      <c r="M478">
        <v>59455.33</v>
      </c>
      <c r="N478">
        <v>20939.07</v>
      </c>
      <c r="O478">
        <f t="shared" si="21"/>
        <v>80394.399999999994</v>
      </c>
      <c r="P478">
        <f t="shared" si="22"/>
        <v>0</v>
      </c>
      <c r="Q478">
        <f t="shared" si="23"/>
        <v>26.045433512781983</v>
      </c>
    </row>
    <row r="479" spans="1:17" x14ac:dyDescent="0.3">
      <c r="A479" t="s">
        <v>681</v>
      </c>
      <c r="B479" s="2">
        <v>46230</v>
      </c>
      <c r="C479" t="s">
        <v>465</v>
      </c>
      <c r="D479" t="s">
        <v>85</v>
      </c>
      <c r="E479" t="s">
        <v>17</v>
      </c>
      <c r="F479" t="s">
        <v>30</v>
      </c>
      <c r="G479" t="s">
        <v>31</v>
      </c>
      <c r="H479" t="s">
        <v>32</v>
      </c>
      <c r="I479">
        <v>3</v>
      </c>
      <c r="J479">
        <v>2489.81</v>
      </c>
      <c r="K479">
        <v>0.05</v>
      </c>
      <c r="L479">
        <v>7095.96</v>
      </c>
      <c r="M479">
        <v>5117.6899999999996</v>
      </c>
      <c r="N479">
        <v>1978.27</v>
      </c>
      <c r="O479">
        <f t="shared" si="21"/>
        <v>7469.43</v>
      </c>
      <c r="P479">
        <f t="shared" si="22"/>
        <v>373.47150000000005</v>
      </c>
      <c r="Q479">
        <f t="shared" si="23"/>
        <v>27.878821188394522</v>
      </c>
    </row>
    <row r="480" spans="1:17" x14ac:dyDescent="0.3">
      <c r="A480" t="s">
        <v>682</v>
      </c>
      <c r="B480" s="2">
        <v>46193</v>
      </c>
      <c r="C480" t="s">
        <v>61</v>
      </c>
      <c r="D480" t="s">
        <v>123</v>
      </c>
      <c r="E480" t="s">
        <v>90</v>
      </c>
      <c r="F480" t="s">
        <v>37</v>
      </c>
      <c r="G480" t="s">
        <v>31</v>
      </c>
      <c r="H480" t="s">
        <v>50</v>
      </c>
      <c r="I480">
        <v>1</v>
      </c>
      <c r="J480">
        <v>2676.7</v>
      </c>
      <c r="K480">
        <v>0</v>
      </c>
      <c r="L480">
        <v>2676.7</v>
      </c>
      <c r="M480">
        <v>2110.25</v>
      </c>
      <c r="N480">
        <v>566.45000000000005</v>
      </c>
      <c r="O480">
        <f t="shared" si="21"/>
        <v>2676.7</v>
      </c>
      <c r="P480">
        <f t="shared" si="22"/>
        <v>0</v>
      </c>
      <c r="Q480">
        <f t="shared" si="23"/>
        <v>21.162252026749361</v>
      </c>
    </row>
    <row r="481" spans="1:17" x14ac:dyDescent="0.3">
      <c r="A481" t="s">
        <v>683</v>
      </c>
      <c r="B481" s="2">
        <v>46205</v>
      </c>
      <c r="C481" t="s">
        <v>343</v>
      </c>
      <c r="D481" t="s">
        <v>28</v>
      </c>
      <c r="E481" t="s">
        <v>29</v>
      </c>
      <c r="F481" t="s">
        <v>30</v>
      </c>
      <c r="G481" t="s">
        <v>31</v>
      </c>
      <c r="H481" t="s">
        <v>50</v>
      </c>
      <c r="I481">
        <v>5</v>
      </c>
      <c r="J481">
        <v>3458.91</v>
      </c>
      <c r="K481">
        <v>0.15</v>
      </c>
      <c r="L481">
        <v>14700.37</v>
      </c>
      <c r="M481">
        <v>10620.35</v>
      </c>
      <c r="N481">
        <v>4080.02</v>
      </c>
      <c r="O481">
        <f t="shared" si="21"/>
        <v>17294.55</v>
      </c>
      <c r="P481">
        <f t="shared" si="22"/>
        <v>2594.1824999999999</v>
      </c>
      <c r="Q481">
        <f t="shared" si="23"/>
        <v>27.754539511590519</v>
      </c>
    </row>
    <row r="482" spans="1:17" x14ac:dyDescent="0.3">
      <c r="A482" t="s">
        <v>684</v>
      </c>
      <c r="B482" s="2">
        <v>46135</v>
      </c>
      <c r="C482" t="s">
        <v>522</v>
      </c>
      <c r="D482" t="s">
        <v>72</v>
      </c>
      <c r="E482" t="s">
        <v>29</v>
      </c>
      <c r="F482" t="s">
        <v>79</v>
      </c>
      <c r="G482" t="s">
        <v>31</v>
      </c>
      <c r="H482" t="s">
        <v>32</v>
      </c>
      <c r="I482">
        <v>6</v>
      </c>
      <c r="J482">
        <v>11351.26</v>
      </c>
      <c r="K482">
        <v>0</v>
      </c>
      <c r="L482">
        <v>68107.56</v>
      </c>
      <c r="M482">
        <v>55908.18</v>
      </c>
      <c r="N482">
        <v>12199.38</v>
      </c>
      <c r="O482">
        <f t="shared" si="21"/>
        <v>68107.56</v>
      </c>
      <c r="P482">
        <f t="shared" si="22"/>
        <v>0</v>
      </c>
      <c r="Q482">
        <f t="shared" si="23"/>
        <v>17.911932243645197</v>
      </c>
    </row>
    <row r="483" spans="1:17" x14ac:dyDescent="0.3">
      <c r="A483" t="s">
        <v>685</v>
      </c>
      <c r="B483" s="2">
        <v>46077</v>
      </c>
      <c r="C483" t="s">
        <v>436</v>
      </c>
      <c r="D483" t="s">
        <v>113</v>
      </c>
      <c r="E483" t="s">
        <v>17</v>
      </c>
      <c r="F483" t="s">
        <v>45</v>
      </c>
      <c r="G483" t="s">
        <v>46</v>
      </c>
      <c r="H483" t="s">
        <v>54</v>
      </c>
      <c r="I483">
        <v>3</v>
      </c>
      <c r="J483">
        <v>20503.16</v>
      </c>
      <c r="K483">
        <v>0</v>
      </c>
      <c r="L483">
        <v>61509.48</v>
      </c>
      <c r="M483">
        <v>55048.99</v>
      </c>
      <c r="N483">
        <v>6460.49</v>
      </c>
      <c r="O483">
        <f t="shared" si="21"/>
        <v>61509.479999999996</v>
      </c>
      <c r="P483">
        <f t="shared" si="22"/>
        <v>0</v>
      </c>
      <c r="Q483">
        <f t="shared" si="23"/>
        <v>10.503242752174135</v>
      </c>
    </row>
    <row r="484" spans="1:17" x14ac:dyDescent="0.3">
      <c r="A484" t="s">
        <v>686</v>
      </c>
      <c r="B484" s="2">
        <v>46204</v>
      </c>
      <c r="C484" t="s">
        <v>349</v>
      </c>
      <c r="D484" t="s">
        <v>72</v>
      </c>
      <c r="E484" t="s">
        <v>29</v>
      </c>
      <c r="F484" t="s">
        <v>53</v>
      </c>
      <c r="G484" t="s">
        <v>46</v>
      </c>
      <c r="H484" t="s">
        <v>50</v>
      </c>
      <c r="I484">
        <v>7</v>
      </c>
      <c r="J484">
        <v>13061.37</v>
      </c>
      <c r="K484">
        <v>0.05</v>
      </c>
      <c r="L484">
        <v>86858.11</v>
      </c>
      <c r="M484">
        <v>76614.45</v>
      </c>
      <c r="N484">
        <v>10243.66</v>
      </c>
      <c r="O484">
        <f t="shared" si="21"/>
        <v>91429.590000000011</v>
      </c>
      <c r="P484">
        <f t="shared" si="22"/>
        <v>4571.4795000000004</v>
      </c>
      <c r="Q484">
        <f t="shared" si="23"/>
        <v>11.793556180303716</v>
      </c>
    </row>
    <row r="485" spans="1:17" x14ac:dyDescent="0.3">
      <c r="A485" t="s">
        <v>687</v>
      </c>
      <c r="B485" s="2">
        <v>46264</v>
      </c>
      <c r="C485" t="s">
        <v>497</v>
      </c>
      <c r="D485" t="s">
        <v>35</v>
      </c>
      <c r="E485" t="s">
        <v>36</v>
      </c>
      <c r="F485" t="s">
        <v>86</v>
      </c>
      <c r="G485" t="s">
        <v>46</v>
      </c>
      <c r="H485" t="s">
        <v>32</v>
      </c>
      <c r="I485">
        <v>6</v>
      </c>
      <c r="J485">
        <v>78494.679999999993</v>
      </c>
      <c r="K485">
        <v>0</v>
      </c>
      <c r="L485">
        <v>470968.08</v>
      </c>
      <c r="M485">
        <v>401010.7</v>
      </c>
      <c r="N485">
        <v>69957.38</v>
      </c>
      <c r="O485">
        <f t="shared" si="21"/>
        <v>470968.07999999996</v>
      </c>
      <c r="P485">
        <f t="shared" si="22"/>
        <v>0</v>
      </c>
      <c r="Q485">
        <f t="shared" si="23"/>
        <v>14.853953584285373</v>
      </c>
    </row>
    <row r="486" spans="1:17" x14ac:dyDescent="0.3">
      <c r="A486" t="s">
        <v>688</v>
      </c>
      <c r="B486" s="2">
        <v>46065</v>
      </c>
      <c r="C486" t="s">
        <v>71</v>
      </c>
      <c r="D486" t="s">
        <v>35</v>
      </c>
      <c r="E486" t="s">
        <v>36</v>
      </c>
      <c r="F486" t="s">
        <v>18</v>
      </c>
      <c r="G486" t="s">
        <v>19</v>
      </c>
      <c r="H486" t="s">
        <v>50</v>
      </c>
      <c r="I486">
        <v>6</v>
      </c>
      <c r="J486">
        <v>23859.03</v>
      </c>
      <c r="K486">
        <v>0.1</v>
      </c>
      <c r="L486">
        <v>128838.76</v>
      </c>
      <c r="M486">
        <v>98344.71</v>
      </c>
      <c r="N486">
        <v>30494.05</v>
      </c>
      <c r="O486">
        <f t="shared" si="21"/>
        <v>143154.18</v>
      </c>
      <c r="P486">
        <f t="shared" si="22"/>
        <v>14315.418</v>
      </c>
      <c r="Q486">
        <f t="shared" si="23"/>
        <v>23.668382092469688</v>
      </c>
    </row>
    <row r="487" spans="1:17" x14ac:dyDescent="0.3">
      <c r="A487" t="s">
        <v>689</v>
      </c>
      <c r="B487" s="2">
        <v>46035</v>
      </c>
      <c r="C487" t="s">
        <v>408</v>
      </c>
      <c r="D487" t="s">
        <v>108</v>
      </c>
      <c r="E487" t="s">
        <v>36</v>
      </c>
      <c r="F487" t="s">
        <v>45</v>
      </c>
      <c r="G487" t="s">
        <v>46</v>
      </c>
      <c r="H487" t="s">
        <v>103</v>
      </c>
      <c r="I487">
        <v>6</v>
      </c>
      <c r="J487">
        <v>43630.36</v>
      </c>
      <c r="K487">
        <v>0.05</v>
      </c>
      <c r="L487">
        <v>248693.05</v>
      </c>
      <c r="M487">
        <v>232013.16</v>
      </c>
      <c r="N487">
        <v>16679.89</v>
      </c>
      <c r="O487">
        <f t="shared" si="21"/>
        <v>261782.16</v>
      </c>
      <c r="P487">
        <f t="shared" si="22"/>
        <v>13089.108</v>
      </c>
      <c r="Q487">
        <f t="shared" si="23"/>
        <v>6.7070189536860809</v>
      </c>
    </row>
    <row r="488" spans="1:17" x14ac:dyDescent="0.3">
      <c r="A488" t="s">
        <v>690</v>
      </c>
      <c r="B488" s="2">
        <v>46172</v>
      </c>
      <c r="C488" t="s">
        <v>291</v>
      </c>
      <c r="D488" t="s">
        <v>16</v>
      </c>
      <c r="E488" t="s">
        <v>17</v>
      </c>
      <c r="F488" t="s">
        <v>18</v>
      </c>
      <c r="G488" t="s">
        <v>19</v>
      </c>
      <c r="H488" t="s">
        <v>54</v>
      </c>
      <c r="I488">
        <v>2</v>
      </c>
      <c r="J488">
        <v>8397.08</v>
      </c>
      <c r="K488">
        <v>0</v>
      </c>
      <c r="L488">
        <v>16794.16</v>
      </c>
      <c r="M488">
        <v>12884.12</v>
      </c>
      <c r="N488">
        <v>3910.04</v>
      </c>
      <c r="O488">
        <f t="shared" si="21"/>
        <v>16794.16</v>
      </c>
      <c r="P488">
        <f t="shared" si="22"/>
        <v>0</v>
      </c>
      <c r="Q488">
        <f t="shared" si="23"/>
        <v>23.282140934705875</v>
      </c>
    </row>
    <row r="489" spans="1:17" x14ac:dyDescent="0.3">
      <c r="A489" t="s">
        <v>691</v>
      </c>
      <c r="B489" s="2">
        <v>46166</v>
      </c>
      <c r="C489" t="s">
        <v>15</v>
      </c>
      <c r="D489" t="s">
        <v>145</v>
      </c>
      <c r="E489" t="s">
        <v>36</v>
      </c>
      <c r="F489" t="s">
        <v>57</v>
      </c>
      <c r="G489" t="s">
        <v>19</v>
      </c>
      <c r="H489" t="s">
        <v>103</v>
      </c>
      <c r="I489">
        <v>3</v>
      </c>
      <c r="J489">
        <v>13526.79</v>
      </c>
      <c r="K489">
        <v>0.1</v>
      </c>
      <c r="L489">
        <v>36522.33</v>
      </c>
      <c r="M489">
        <v>29086.44</v>
      </c>
      <c r="N489">
        <v>7435.89</v>
      </c>
      <c r="O489">
        <f t="shared" si="21"/>
        <v>40580.370000000003</v>
      </c>
      <c r="P489">
        <f t="shared" si="22"/>
        <v>4058.0370000000003</v>
      </c>
      <c r="Q489">
        <f t="shared" si="23"/>
        <v>20.359845606783576</v>
      </c>
    </row>
    <row r="490" spans="1:17" x14ac:dyDescent="0.3">
      <c r="A490" t="s">
        <v>692</v>
      </c>
      <c r="B490" s="2">
        <v>46095</v>
      </c>
      <c r="C490" t="s">
        <v>526</v>
      </c>
      <c r="D490" t="s">
        <v>106</v>
      </c>
      <c r="E490" t="s">
        <v>90</v>
      </c>
      <c r="F490" t="s">
        <v>49</v>
      </c>
      <c r="G490" t="s">
        <v>46</v>
      </c>
      <c r="H490" t="s">
        <v>103</v>
      </c>
      <c r="I490">
        <v>2</v>
      </c>
      <c r="J490">
        <v>12840.73</v>
      </c>
      <c r="K490">
        <v>0.05</v>
      </c>
      <c r="L490">
        <v>24397.39</v>
      </c>
      <c r="M490">
        <v>21365.439999999999</v>
      </c>
      <c r="N490">
        <v>3031.95</v>
      </c>
      <c r="O490">
        <f t="shared" si="21"/>
        <v>25681.46</v>
      </c>
      <c r="P490">
        <f t="shared" si="22"/>
        <v>1284.0730000000001</v>
      </c>
      <c r="Q490">
        <f t="shared" si="23"/>
        <v>12.427353909578031</v>
      </c>
    </row>
    <row r="491" spans="1:17" x14ac:dyDescent="0.3">
      <c r="A491" t="s">
        <v>693</v>
      </c>
      <c r="B491" s="2">
        <v>46229</v>
      </c>
      <c r="C491" t="s">
        <v>345</v>
      </c>
      <c r="D491" t="s">
        <v>35</v>
      </c>
      <c r="E491" t="s">
        <v>36</v>
      </c>
      <c r="F491" t="s">
        <v>30</v>
      </c>
      <c r="G491" t="s">
        <v>31</v>
      </c>
      <c r="H491" t="s">
        <v>69</v>
      </c>
      <c r="I491">
        <v>4</v>
      </c>
      <c r="J491">
        <v>1062.06</v>
      </c>
      <c r="K491">
        <v>0</v>
      </c>
      <c r="L491">
        <v>4248.24</v>
      </c>
      <c r="M491">
        <v>3370.55</v>
      </c>
      <c r="N491">
        <v>877.69</v>
      </c>
      <c r="O491">
        <f t="shared" si="21"/>
        <v>4248.24</v>
      </c>
      <c r="P491">
        <f t="shared" si="22"/>
        <v>0</v>
      </c>
      <c r="Q491">
        <f t="shared" si="23"/>
        <v>20.660085117601646</v>
      </c>
    </row>
    <row r="492" spans="1:17" x14ac:dyDescent="0.3">
      <c r="A492" t="s">
        <v>694</v>
      </c>
      <c r="B492" s="2">
        <v>46295</v>
      </c>
      <c r="C492" t="s">
        <v>555</v>
      </c>
      <c r="D492" t="s">
        <v>72</v>
      </c>
      <c r="E492" t="s">
        <v>29</v>
      </c>
      <c r="F492" t="s">
        <v>49</v>
      </c>
      <c r="G492" t="s">
        <v>46</v>
      </c>
      <c r="H492" t="s">
        <v>32</v>
      </c>
      <c r="I492">
        <v>2</v>
      </c>
      <c r="J492">
        <v>27452.560000000001</v>
      </c>
      <c r="K492">
        <v>0</v>
      </c>
      <c r="L492">
        <v>54905.120000000003</v>
      </c>
      <c r="M492">
        <v>50020.14</v>
      </c>
      <c r="N492">
        <v>4884.9799999999996</v>
      </c>
      <c r="O492">
        <f t="shared" si="21"/>
        <v>54905.120000000003</v>
      </c>
      <c r="P492">
        <f t="shared" si="22"/>
        <v>0</v>
      </c>
      <c r="Q492">
        <f t="shared" si="23"/>
        <v>8.8971301765664101</v>
      </c>
    </row>
    <row r="493" spans="1:17" x14ac:dyDescent="0.3">
      <c r="A493" t="s">
        <v>695</v>
      </c>
      <c r="B493" s="2">
        <v>46072</v>
      </c>
      <c r="C493" t="s">
        <v>66</v>
      </c>
      <c r="D493" t="s">
        <v>113</v>
      </c>
      <c r="E493" t="s">
        <v>17</v>
      </c>
      <c r="F493" t="s">
        <v>18</v>
      </c>
      <c r="G493" t="s">
        <v>19</v>
      </c>
      <c r="H493" t="s">
        <v>50</v>
      </c>
      <c r="I493">
        <v>4</v>
      </c>
      <c r="J493">
        <v>9120.5400000000009</v>
      </c>
      <c r="K493">
        <v>0</v>
      </c>
      <c r="L493">
        <v>36482.160000000003</v>
      </c>
      <c r="M493">
        <v>28325.27</v>
      </c>
      <c r="N493">
        <v>8156.89</v>
      </c>
      <c r="O493">
        <f t="shared" si="21"/>
        <v>36482.160000000003</v>
      </c>
      <c r="P493">
        <f t="shared" si="22"/>
        <v>0</v>
      </c>
      <c r="Q493">
        <f t="shared" si="23"/>
        <v>22.358571970519289</v>
      </c>
    </row>
    <row r="494" spans="1:17" x14ac:dyDescent="0.3">
      <c r="A494" t="s">
        <v>696</v>
      </c>
      <c r="B494" s="2">
        <v>46094</v>
      </c>
      <c r="C494" t="s">
        <v>218</v>
      </c>
      <c r="D494" t="s">
        <v>23</v>
      </c>
      <c r="E494" t="s">
        <v>24</v>
      </c>
      <c r="F494" t="s">
        <v>18</v>
      </c>
      <c r="G494" t="s">
        <v>19</v>
      </c>
      <c r="H494" t="s">
        <v>103</v>
      </c>
      <c r="I494">
        <v>3</v>
      </c>
      <c r="J494">
        <v>10267</v>
      </c>
      <c r="K494">
        <v>0</v>
      </c>
      <c r="L494">
        <v>30801</v>
      </c>
      <c r="M494">
        <v>24766.28</v>
      </c>
      <c r="N494">
        <v>6034.72</v>
      </c>
      <c r="O494">
        <f t="shared" si="21"/>
        <v>30801</v>
      </c>
      <c r="P494">
        <f t="shared" si="22"/>
        <v>0</v>
      </c>
      <c r="Q494">
        <f t="shared" si="23"/>
        <v>19.592610629525016</v>
      </c>
    </row>
    <row r="495" spans="1:17" x14ac:dyDescent="0.3">
      <c r="A495" t="s">
        <v>697</v>
      </c>
      <c r="B495" s="2">
        <v>46082</v>
      </c>
      <c r="C495" t="s">
        <v>151</v>
      </c>
      <c r="D495" t="s">
        <v>72</v>
      </c>
      <c r="E495" t="s">
        <v>29</v>
      </c>
      <c r="F495" t="s">
        <v>57</v>
      </c>
      <c r="G495" t="s">
        <v>19</v>
      </c>
      <c r="H495" t="s">
        <v>25</v>
      </c>
      <c r="I495">
        <v>4</v>
      </c>
      <c r="J495">
        <v>11215.13</v>
      </c>
      <c r="K495">
        <v>0.05</v>
      </c>
      <c r="L495">
        <v>42617.49</v>
      </c>
      <c r="M495">
        <v>34626.379999999997</v>
      </c>
      <c r="N495">
        <v>7991.11</v>
      </c>
      <c r="O495">
        <f t="shared" si="21"/>
        <v>44860.52</v>
      </c>
      <c r="P495">
        <f t="shared" si="22"/>
        <v>2243.0259999999998</v>
      </c>
      <c r="Q495">
        <f t="shared" si="23"/>
        <v>18.750775796509835</v>
      </c>
    </row>
    <row r="496" spans="1:17" x14ac:dyDescent="0.3">
      <c r="A496" t="s">
        <v>698</v>
      </c>
      <c r="B496" s="2">
        <v>46108</v>
      </c>
      <c r="C496" t="s">
        <v>110</v>
      </c>
      <c r="D496" t="s">
        <v>16</v>
      </c>
      <c r="E496" t="s">
        <v>17</v>
      </c>
      <c r="F496" t="s">
        <v>45</v>
      </c>
      <c r="G496" t="s">
        <v>46</v>
      </c>
      <c r="H496" t="s">
        <v>25</v>
      </c>
      <c r="I496">
        <v>7</v>
      </c>
      <c r="J496">
        <v>32132.26</v>
      </c>
      <c r="K496">
        <v>0.15</v>
      </c>
      <c r="L496">
        <v>191186.95</v>
      </c>
      <c r="M496">
        <v>175046.39</v>
      </c>
      <c r="N496">
        <v>16140.56</v>
      </c>
      <c r="O496">
        <f t="shared" si="21"/>
        <v>224925.81999999998</v>
      </c>
      <c r="P496">
        <f t="shared" si="22"/>
        <v>33738.872999999992</v>
      </c>
      <c r="Q496">
        <f t="shared" si="23"/>
        <v>8.4422916940722157</v>
      </c>
    </row>
    <row r="497" spans="1:17" x14ac:dyDescent="0.3">
      <c r="A497" t="s">
        <v>699</v>
      </c>
      <c r="B497" s="2">
        <v>46053</v>
      </c>
      <c r="C497" t="s">
        <v>133</v>
      </c>
      <c r="D497" t="s">
        <v>126</v>
      </c>
      <c r="E497" t="s">
        <v>24</v>
      </c>
      <c r="F497" t="s">
        <v>30</v>
      </c>
      <c r="G497" t="s">
        <v>31</v>
      </c>
      <c r="H497" t="s">
        <v>38</v>
      </c>
      <c r="I497">
        <v>2</v>
      </c>
      <c r="J497">
        <v>2809.68</v>
      </c>
      <c r="K497">
        <v>0.05</v>
      </c>
      <c r="L497">
        <v>5338.39</v>
      </c>
      <c r="M497">
        <v>4437.6400000000003</v>
      </c>
      <c r="N497">
        <v>900.75</v>
      </c>
      <c r="O497">
        <f t="shared" si="21"/>
        <v>5619.36</v>
      </c>
      <c r="P497">
        <f t="shared" si="22"/>
        <v>280.96800000000002</v>
      </c>
      <c r="Q497">
        <f t="shared" si="23"/>
        <v>16.873064725507128</v>
      </c>
    </row>
    <row r="498" spans="1:17" x14ac:dyDescent="0.3">
      <c r="A498" t="s">
        <v>700</v>
      </c>
      <c r="B498" s="2">
        <v>46134</v>
      </c>
      <c r="C498" t="s">
        <v>388</v>
      </c>
      <c r="D498" t="s">
        <v>28</v>
      </c>
      <c r="E498" t="s">
        <v>29</v>
      </c>
      <c r="F498" t="s">
        <v>57</v>
      </c>
      <c r="G498" t="s">
        <v>19</v>
      </c>
      <c r="H498" t="s">
        <v>20</v>
      </c>
      <c r="I498">
        <v>7</v>
      </c>
      <c r="J498">
        <v>6398.63</v>
      </c>
      <c r="K498">
        <v>0.15</v>
      </c>
      <c r="L498">
        <v>38071.85</v>
      </c>
      <c r="M498">
        <v>29411.08</v>
      </c>
      <c r="N498">
        <v>8660.77</v>
      </c>
      <c r="O498">
        <f t="shared" si="21"/>
        <v>44790.41</v>
      </c>
      <c r="P498">
        <f t="shared" si="22"/>
        <v>6718.5615000000007</v>
      </c>
      <c r="Q498">
        <f t="shared" si="23"/>
        <v>22.748487399482823</v>
      </c>
    </row>
    <row r="499" spans="1:17" x14ac:dyDescent="0.3">
      <c r="A499" t="s">
        <v>701</v>
      </c>
      <c r="B499" s="2">
        <v>46206</v>
      </c>
      <c r="C499" t="s">
        <v>182</v>
      </c>
      <c r="D499" t="s">
        <v>123</v>
      </c>
      <c r="E499" t="s">
        <v>90</v>
      </c>
      <c r="F499" t="s">
        <v>41</v>
      </c>
      <c r="G499" t="s">
        <v>42</v>
      </c>
      <c r="H499" t="s">
        <v>54</v>
      </c>
      <c r="I499">
        <v>1</v>
      </c>
      <c r="J499">
        <v>10577.42</v>
      </c>
      <c r="K499">
        <v>0.05</v>
      </c>
      <c r="L499">
        <v>10048.549999999999</v>
      </c>
      <c r="M499">
        <v>8239.15</v>
      </c>
      <c r="N499">
        <v>1809.4</v>
      </c>
      <c r="O499">
        <f t="shared" si="21"/>
        <v>10577.42</v>
      </c>
      <c r="P499">
        <f t="shared" si="22"/>
        <v>528.87099999999998</v>
      </c>
      <c r="Q499">
        <f t="shared" si="23"/>
        <v>18.006578063501703</v>
      </c>
    </row>
    <row r="500" spans="1:17" x14ac:dyDescent="0.3">
      <c r="A500" t="s">
        <v>702</v>
      </c>
      <c r="B500" s="2">
        <v>46128</v>
      </c>
      <c r="C500" t="s">
        <v>56</v>
      </c>
      <c r="D500" t="s">
        <v>35</v>
      </c>
      <c r="E500" t="s">
        <v>36</v>
      </c>
      <c r="F500" t="s">
        <v>57</v>
      </c>
      <c r="G500" t="s">
        <v>19</v>
      </c>
      <c r="H500" t="s">
        <v>20</v>
      </c>
      <c r="I500">
        <v>1</v>
      </c>
      <c r="J500">
        <v>19281.84</v>
      </c>
      <c r="K500">
        <v>0.1</v>
      </c>
      <c r="L500">
        <v>17353.66</v>
      </c>
      <c r="M500">
        <v>12271.64</v>
      </c>
      <c r="N500">
        <v>5082.0200000000004</v>
      </c>
      <c r="O500">
        <f t="shared" si="21"/>
        <v>19281.84</v>
      </c>
      <c r="P500">
        <f t="shared" si="22"/>
        <v>1928.1840000000002</v>
      </c>
      <c r="Q500">
        <f t="shared" si="23"/>
        <v>29.285003855094548</v>
      </c>
    </row>
    <row r="501" spans="1:17" x14ac:dyDescent="0.3">
      <c r="A501" t="s">
        <v>703</v>
      </c>
      <c r="B501" s="2">
        <v>46230</v>
      </c>
      <c r="C501" t="s">
        <v>403</v>
      </c>
      <c r="D501" t="s">
        <v>62</v>
      </c>
      <c r="E501" t="s">
        <v>24</v>
      </c>
      <c r="F501" t="s">
        <v>53</v>
      </c>
      <c r="G501" t="s">
        <v>46</v>
      </c>
      <c r="H501" t="s">
        <v>54</v>
      </c>
      <c r="I501">
        <v>7</v>
      </c>
      <c r="J501">
        <v>30793.99</v>
      </c>
      <c r="K501">
        <v>0</v>
      </c>
      <c r="L501">
        <v>215557.93</v>
      </c>
      <c r="M501">
        <v>176763.58</v>
      </c>
      <c r="N501">
        <v>38794.35</v>
      </c>
      <c r="O501">
        <f t="shared" si="21"/>
        <v>215557.93000000002</v>
      </c>
      <c r="P501">
        <f t="shared" si="22"/>
        <v>0</v>
      </c>
      <c r="Q501">
        <f t="shared" si="23"/>
        <v>17.997180618685661</v>
      </c>
    </row>
  </sheetData>
  <autoFilter ref="A1:N501" xr:uid="{00000000-0001-0000-0000-000000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4.4" x14ac:dyDescent="0.3"/>
  <cols>
    <col min="1" max="1" width="25.77734375" bestFit="1" customWidth="1"/>
    <col min="2" max="2" width="73.33203125" bestFit="1" customWidth="1"/>
  </cols>
  <sheetData>
    <row r="1" spans="1:2" x14ac:dyDescent="0.3">
      <c r="A1" s="1" t="s">
        <v>704</v>
      </c>
      <c r="B1" s="1" t="s">
        <v>705</v>
      </c>
    </row>
    <row r="2" spans="1:2" x14ac:dyDescent="0.3">
      <c r="A2" t="s">
        <v>706</v>
      </c>
      <c r="B2" t="s">
        <v>707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Sheet1</vt:lpstr>
      <vt:lpstr>month</vt:lpstr>
      <vt:lpstr>region</vt:lpstr>
      <vt:lpstr>category</vt:lpstr>
      <vt:lpstr>product</vt:lpstr>
      <vt:lpstr>salesperson</vt:lpstr>
      <vt:lpstr>Raw_Data</vt:lpstr>
      <vt:lpstr>Project_Brief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MUSTANSIR HUSSAIN</cp:lastModifiedBy>
  <dcterms:created xsi:type="dcterms:W3CDTF">2026-10-02T15:25:28Z</dcterms:created>
  <dcterms:modified xsi:type="dcterms:W3CDTF">2026-10-02T18:44:32Z</dcterms:modified>
</cp:coreProperties>
</file>